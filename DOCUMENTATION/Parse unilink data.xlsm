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avid\Documents\_Proyectos\unilink\"/>
    </mc:Choice>
  </mc:AlternateContent>
  <bookViews>
    <workbookView xWindow="0" yWindow="0" windowWidth="25125" windowHeight="12300"/>
  </bookViews>
  <sheets>
    <sheet name="power-on" sheetId="1" r:id="rId1"/>
    <sheet name="changing" sheetId="4" r:id="rId2"/>
    <sheet name="original" sheetId="5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2" i="4" l="1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123" i="4"/>
  <c r="Z124" i="4"/>
  <c r="Z125" i="4"/>
  <c r="Z126" i="4"/>
  <c r="Z127" i="4"/>
  <c r="Z128" i="4"/>
  <c r="Z129" i="4"/>
  <c r="Z130" i="4"/>
  <c r="Z13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4" i="4"/>
  <c r="Z5" i="4"/>
  <c r="Z6" i="4"/>
  <c r="Z7" i="4"/>
  <c r="Z8" i="4"/>
  <c r="Z9" i="4"/>
  <c r="Z10" i="4"/>
  <c r="Z11" i="4"/>
  <c r="Z3" i="4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A2" i="5"/>
  <c r="A10" i="5"/>
  <c r="A18" i="5"/>
  <c r="A26" i="5"/>
  <c r="A34" i="5"/>
  <c r="A42" i="5"/>
  <c r="A50" i="5"/>
  <c r="A58" i="5"/>
  <c r="A66" i="5"/>
  <c r="A74" i="5"/>
  <c r="A82" i="5"/>
  <c r="A90" i="5"/>
  <c r="A98" i="5"/>
  <c r="A106" i="5"/>
  <c r="A114" i="5"/>
  <c r="A122" i="5"/>
  <c r="A130" i="5"/>
  <c r="A138" i="5"/>
  <c r="A146" i="5"/>
  <c r="A154" i="5"/>
  <c r="A162" i="5"/>
  <c r="A170" i="5"/>
  <c r="A178" i="5"/>
  <c r="A186" i="5"/>
  <c r="A194" i="5"/>
  <c r="A202" i="5"/>
  <c r="A210" i="5"/>
  <c r="A218" i="5"/>
  <c r="A226" i="5"/>
  <c r="A234" i="5"/>
  <c r="A242" i="5"/>
  <c r="A250" i="5"/>
  <c r="A258" i="5"/>
  <c r="A266" i="5"/>
  <c r="A274" i="5"/>
  <c r="A282" i="5"/>
  <c r="A290" i="5"/>
  <c r="A298" i="5"/>
  <c r="A306" i="5"/>
  <c r="A314" i="5"/>
  <c r="A322" i="5"/>
  <c r="A330" i="5"/>
  <c r="A338" i="5"/>
  <c r="A346" i="5"/>
  <c r="A354" i="5"/>
  <c r="A362" i="5"/>
  <c r="A370" i="5"/>
  <c r="A378" i="5"/>
  <c r="A386" i="5"/>
  <c r="A394" i="5"/>
  <c r="A402" i="5"/>
  <c r="A410" i="5"/>
  <c r="A418" i="5"/>
  <c r="A426" i="5"/>
  <c r="A434" i="5"/>
  <c r="A442" i="5"/>
  <c r="A450" i="5"/>
  <c r="A458" i="5"/>
  <c r="A466" i="5"/>
  <c r="A474" i="5"/>
  <c r="A482" i="5"/>
  <c r="A490" i="5"/>
  <c r="A498" i="5"/>
  <c r="A506" i="5"/>
  <c r="A514" i="5"/>
  <c r="A522" i="5"/>
  <c r="A530" i="5"/>
  <c r="A538" i="5"/>
  <c r="A546" i="5"/>
  <c r="A554" i="5"/>
  <c r="A562" i="5"/>
  <c r="A570" i="5"/>
  <c r="A578" i="5"/>
  <c r="A586" i="5"/>
  <c r="A594" i="5"/>
  <c r="A602" i="5"/>
  <c r="A610" i="5"/>
  <c r="A618" i="5"/>
  <c r="A626" i="5"/>
  <c r="A634" i="5"/>
  <c r="A642" i="5"/>
  <c r="A650" i="5"/>
  <c r="A658" i="5"/>
  <c r="A666" i="5"/>
  <c r="A674" i="5"/>
  <c r="A682" i="5"/>
  <c r="A690" i="5"/>
  <c r="A698" i="5"/>
  <c r="A706" i="5"/>
  <c r="A714" i="5"/>
  <c r="A722" i="5"/>
  <c r="A730" i="5"/>
  <c r="A738" i="5"/>
  <c r="A746" i="5"/>
  <c r="A754" i="5"/>
  <c r="A762" i="5"/>
  <c r="A770" i="5"/>
  <c r="A778" i="5"/>
  <c r="A786" i="5"/>
  <c r="A794" i="5"/>
  <c r="A802" i="5"/>
  <c r="A810" i="5"/>
  <c r="A818" i="5"/>
  <c r="A826" i="5"/>
  <c r="A834" i="5"/>
  <c r="A842" i="5"/>
  <c r="A850" i="5"/>
  <c r="A858" i="5"/>
  <c r="A866" i="5"/>
  <c r="A874" i="5"/>
  <c r="A882" i="5"/>
  <c r="A890" i="5"/>
  <c r="A898" i="5"/>
  <c r="A906" i="5"/>
  <c r="A914" i="5"/>
  <c r="A922" i="5"/>
  <c r="A925" i="5"/>
  <c r="A49" i="5"/>
  <c r="A81" i="5"/>
  <c r="A129" i="5"/>
  <c r="A177" i="5"/>
  <c r="A225" i="5"/>
  <c r="A273" i="5"/>
  <c r="A313" i="5"/>
  <c r="A361" i="5"/>
  <c r="A417" i="5"/>
  <c r="A457" i="5"/>
  <c r="A3" i="5"/>
  <c r="A11" i="5"/>
  <c r="A19" i="5"/>
  <c r="A27" i="5"/>
  <c r="A35" i="5"/>
  <c r="A43" i="5"/>
  <c r="A51" i="5"/>
  <c r="A59" i="5"/>
  <c r="A67" i="5"/>
  <c r="A75" i="5"/>
  <c r="A83" i="5"/>
  <c r="A91" i="5"/>
  <c r="A99" i="5"/>
  <c r="A107" i="5"/>
  <c r="A115" i="5"/>
  <c r="A123" i="5"/>
  <c r="A131" i="5"/>
  <c r="A139" i="5"/>
  <c r="A147" i="5"/>
  <c r="A155" i="5"/>
  <c r="A163" i="5"/>
  <c r="A171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371" i="5"/>
  <c r="A379" i="5"/>
  <c r="A387" i="5"/>
  <c r="A395" i="5"/>
  <c r="A403" i="5"/>
  <c r="A411" i="5"/>
  <c r="A419" i="5"/>
  <c r="A427" i="5"/>
  <c r="A435" i="5"/>
  <c r="A443" i="5"/>
  <c r="A451" i="5"/>
  <c r="A459" i="5"/>
  <c r="A467" i="5"/>
  <c r="A475" i="5"/>
  <c r="A483" i="5"/>
  <c r="A491" i="5"/>
  <c r="A499" i="5"/>
  <c r="A507" i="5"/>
  <c r="A515" i="5"/>
  <c r="A523" i="5"/>
  <c r="A531" i="5"/>
  <c r="A539" i="5"/>
  <c r="A547" i="5"/>
  <c r="A555" i="5"/>
  <c r="A563" i="5"/>
  <c r="A571" i="5"/>
  <c r="A579" i="5"/>
  <c r="A587" i="5"/>
  <c r="A595" i="5"/>
  <c r="A603" i="5"/>
  <c r="A611" i="5"/>
  <c r="A619" i="5"/>
  <c r="A627" i="5"/>
  <c r="A635" i="5"/>
  <c r="A643" i="5"/>
  <c r="A651" i="5"/>
  <c r="A659" i="5"/>
  <c r="A667" i="5"/>
  <c r="A675" i="5"/>
  <c r="A683" i="5"/>
  <c r="A691" i="5"/>
  <c r="A699" i="5"/>
  <c r="A707" i="5"/>
  <c r="A715" i="5"/>
  <c r="A723" i="5"/>
  <c r="A731" i="5"/>
  <c r="A739" i="5"/>
  <c r="A747" i="5"/>
  <c r="A755" i="5"/>
  <c r="A763" i="5"/>
  <c r="A771" i="5"/>
  <c r="A779" i="5"/>
  <c r="A787" i="5"/>
  <c r="A795" i="5"/>
  <c r="A803" i="5"/>
  <c r="A811" i="5"/>
  <c r="A819" i="5"/>
  <c r="A827" i="5"/>
  <c r="A835" i="5"/>
  <c r="A843" i="5"/>
  <c r="A851" i="5"/>
  <c r="A859" i="5"/>
  <c r="A867" i="5"/>
  <c r="A875" i="5"/>
  <c r="A883" i="5"/>
  <c r="A891" i="5"/>
  <c r="A899" i="5"/>
  <c r="A907" i="5"/>
  <c r="A915" i="5"/>
  <c r="A923" i="5"/>
  <c r="A924" i="5"/>
  <c r="A25" i="5"/>
  <c r="A105" i="5"/>
  <c r="A169" i="5"/>
  <c r="A233" i="5"/>
  <c r="A281" i="5"/>
  <c r="A345" i="5"/>
  <c r="A409" i="5"/>
  <c r="A465" i="5"/>
  <c r="A4" i="5"/>
  <c r="A12" i="5"/>
  <c r="A20" i="5"/>
  <c r="A28" i="5"/>
  <c r="A36" i="5"/>
  <c r="A44" i="5"/>
  <c r="A52" i="5"/>
  <c r="A60" i="5"/>
  <c r="A68" i="5"/>
  <c r="A76" i="5"/>
  <c r="A84" i="5"/>
  <c r="A92" i="5"/>
  <c r="A100" i="5"/>
  <c r="A108" i="5"/>
  <c r="A116" i="5"/>
  <c r="A124" i="5"/>
  <c r="A132" i="5"/>
  <c r="A140" i="5"/>
  <c r="A148" i="5"/>
  <c r="A156" i="5"/>
  <c r="A164" i="5"/>
  <c r="A172" i="5"/>
  <c r="A180" i="5"/>
  <c r="A188" i="5"/>
  <c r="A196" i="5"/>
  <c r="A204" i="5"/>
  <c r="A212" i="5"/>
  <c r="A220" i="5"/>
  <c r="A228" i="5"/>
  <c r="A236" i="5"/>
  <c r="A244" i="5"/>
  <c r="A252" i="5"/>
  <c r="A260" i="5"/>
  <c r="A268" i="5"/>
  <c r="A276" i="5"/>
  <c r="A284" i="5"/>
  <c r="A292" i="5"/>
  <c r="A300" i="5"/>
  <c r="A308" i="5"/>
  <c r="A316" i="5"/>
  <c r="A324" i="5"/>
  <c r="A332" i="5"/>
  <c r="A340" i="5"/>
  <c r="A348" i="5"/>
  <c r="A356" i="5"/>
  <c r="A364" i="5"/>
  <c r="A372" i="5"/>
  <c r="A380" i="5"/>
  <c r="A388" i="5"/>
  <c r="A396" i="5"/>
  <c r="A404" i="5"/>
  <c r="A412" i="5"/>
  <c r="A420" i="5"/>
  <c r="A428" i="5"/>
  <c r="A436" i="5"/>
  <c r="A444" i="5"/>
  <c r="A452" i="5"/>
  <c r="A460" i="5"/>
  <c r="A468" i="5"/>
  <c r="A476" i="5"/>
  <c r="A484" i="5"/>
  <c r="A492" i="5"/>
  <c r="A500" i="5"/>
  <c r="A508" i="5"/>
  <c r="A516" i="5"/>
  <c r="A524" i="5"/>
  <c r="A532" i="5"/>
  <c r="A540" i="5"/>
  <c r="A548" i="5"/>
  <c r="A556" i="5"/>
  <c r="A564" i="5"/>
  <c r="A572" i="5"/>
  <c r="A580" i="5"/>
  <c r="A588" i="5"/>
  <c r="A596" i="5"/>
  <c r="A604" i="5"/>
  <c r="A612" i="5"/>
  <c r="A620" i="5"/>
  <c r="A628" i="5"/>
  <c r="A636" i="5"/>
  <c r="A644" i="5"/>
  <c r="A652" i="5"/>
  <c r="A660" i="5"/>
  <c r="A668" i="5"/>
  <c r="A676" i="5"/>
  <c r="A684" i="5"/>
  <c r="A692" i="5"/>
  <c r="A700" i="5"/>
  <c r="A708" i="5"/>
  <c r="A716" i="5"/>
  <c r="A724" i="5"/>
  <c r="A732" i="5"/>
  <c r="A740" i="5"/>
  <c r="A748" i="5"/>
  <c r="A756" i="5"/>
  <c r="A764" i="5"/>
  <c r="A772" i="5"/>
  <c r="A780" i="5"/>
  <c r="A788" i="5"/>
  <c r="A796" i="5"/>
  <c r="A804" i="5"/>
  <c r="A812" i="5"/>
  <c r="A820" i="5"/>
  <c r="A828" i="5"/>
  <c r="A836" i="5"/>
  <c r="A844" i="5"/>
  <c r="A852" i="5"/>
  <c r="A860" i="5"/>
  <c r="A868" i="5"/>
  <c r="A876" i="5"/>
  <c r="A884" i="5"/>
  <c r="A892" i="5"/>
  <c r="A900" i="5"/>
  <c r="A908" i="5"/>
  <c r="A916" i="5"/>
  <c r="A41" i="5"/>
  <c r="A65" i="5"/>
  <c r="A97" i="5"/>
  <c r="A153" i="5"/>
  <c r="A201" i="5"/>
  <c r="A257" i="5"/>
  <c r="A329" i="5"/>
  <c r="A401" i="5"/>
  <c r="A481" i="5"/>
  <c r="A5" i="5"/>
  <c r="A13" i="5"/>
  <c r="A21" i="5"/>
  <c r="A29" i="5"/>
  <c r="A37" i="5"/>
  <c r="A45" i="5"/>
  <c r="A53" i="5"/>
  <c r="A61" i="5"/>
  <c r="A69" i="5"/>
  <c r="A77" i="5"/>
  <c r="A85" i="5"/>
  <c r="A93" i="5"/>
  <c r="A101" i="5"/>
  <c r="A109" i="5"/>
  <c r="A117" i="5"/>
  <c r="A125" i="5"/>
  <c r="A133" i="5"/>
  <c r="A141" i="5"/>
  <c r="A149" i="5"/>
  <c r="A157" i="5"/>
  <c r="A165" i="5"/>
  <c r="A173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73" i="5"/>
  <c r="A381" i="5"/>
  <c r="A389" i="5"/>
  <c r="A397" i="5"/>
  <c r="A405" i="5"/>
  <c r="A413" i="5"/>
  <c r="A421" i="5"/>
  <c r="A429" i="5"/>
  <c r="A437" i="5"/>
  <c r="A445" i="5"/>
  <c r="A453" i="5"/>
  <c r="A461" i="5"/>
  <c r="A469" i="5"/>
  <c r="A477" i="5"/>
  <c r="A485" i="5"/>
  <c r="A493" i="5"/>
  <c r="A501" i="5"/>
  <c r="A509" i="5"/>
  <c r="A517" i="5"/>
  <c r="A525" i="5"/>
  <c r="A533" i="5"/>
  <c r="A541" i="5"/>
  <c r="A549" i="5"/>
  <c r="A557" i="5"/>
  <c r="A565" i="5"/>
  <c r="A573" i="5"/>
  <c r="A581" i="5"/>
  <c r="A589" i="5"/>
  <c r="A597" i="5"/>
  <c r="A605" i="5"/>
  <c r="A613" i="5"/>
  <c r="A621" i="5"/>
  <c r="A629" i="5"/>
  <c r="A637" i="5"/>
  <c r="A645" i="5"/>
  <c r="A653" i="5"/>
  <c r="A661" i="5"/>
  <c r="A669" i="5"/>
  <c r="A677" i="5"/>
  <c r="A685" i="5"/>
  <c r="A693" i="5"/>
  <c r="A701" i="5"/>
  <c r="A709" i="5"/>
  <c r="A717" i="5"/>
  <c r="A725" i="5"/>
  <c r="A733" i="5"/>
  <c r="A741" i="5"/>
  <c r="A749" i="5"/>
  <c r="A757" i="5"/>
  <c r="A765" i="5"/>
  <c r="A773" i="5"/>
  <c r="A781" i="5"/>
  <c r="A789" i="5"/>
  <c r="A797" i="5"/>
  <c r="A805" i="5"/>
  <c r="A813" i="5"/>
  <c r="A821" i="5"/>
  <c r="A829" i="5"/>
  <c r="A837" i="5"/>
  <c r="A845" i="5"/>
  <c r="A853" i="5"/>
  <c r="A861" i="5"/>
  <c r="A869" i="5"/>
  <c r="A877" i="5"/>
  <c r="A885" i="5"/>
  <c r="A893" i="5"/>
  <c r="A901" i="5"/>
  <c r="A909" i="5"/>
  <c r="A917" i="5"/>
  <c r="A33" i="5"/>
  <c r="A89" i="5"/>
  <c r="A145" i="5"/>
  <c r="A209" i="5"/>
  <c r="A265" i="5"/>
  <c r="A321" i="5"/>
  <c r="A369" i="5"/>
  <c r="A425" i="5"/>
  <c r="A473" i="5"/>
  <c r="A6" i="5"/>
  <c r="A14" i="5"/>
  <c r="A22" i="5"/>
  <c r="A30" i="5"/>
  <c r="A38" i="5"/>
  <c r="A46" i="5"/>
  <c r="A54" i="5"/>
  <c r="A62" i="5"/>
  <c r="A70" i="5"/>
  <c r="A78" i="5"/>
  <c r="A86" i="5"/>
  <c r="A94" i="5"/>
  <c r="A102" i="5"/>
  <c r="A110" i="5"/>
  <c r="A118" i="5"/>
  <c r="A126" i="5"/>
  <c r="A134" i="5"/>
  <c r="A142" i="5"/>
  <c r="A150" i="5"/>
  <c r="A158" i="5"/>
  <c r="A166" i="5"/>
  <c r="A174" i="5"/>
  <c r="A182" i="5"/>
  <c r="A190" i="5"/>
  <c r="A198" i="5"/>
  <c r="A206" i="5"/>
  <c r="A214" i="5"/>
  <c r="A222" i="5"/>
  <c r="A230" i="5"/>
  <c r="A238" i="5"/>
  <c r="A246" i="5"/>
  <c r="A254" i="5"/>
  <c r="A262" i="5"/>
  <c r="A270" i="5"/>
  <c r="A278" i="5"/>
  <c r="A286" i="5"/>
  <c r="A294" i="5"/>
  <c r="A302" i="5"/>
  <c r="A310" i="5"/>
  <c r="A318" i="5"/>
  <c r="A326" i="5"/>
  <c r="A334" i="5"/>
  <c r="A342" i="5"/>
  <c r="A350" i="5"/>
  <c r="A358" i="5"/>
  <c r="A366" i="5"/>
  <c r="A374" i="5"/>
  <c r="A382" i="5"/>
  <c r="A390" i="5"/>
  <c r="A398" i="5"/>
  <c r="A406" i="5"/>
  <c r="A414" i="5"/>
  <c r="A422" i="5"/>
  <c r="A430" i="5"/>
  <c r="A438" i="5"/>
  <c r="A446" i="5"/>
  <c r="A454" i="5"/>
  <c r="A462" i="5"/>
  <c r="A470" i="5"/>
  <c r="A478" i="5"/>
  <c r="A486" i="5"/>
  <c r="A494" i="5"/>
  <c r="A502" i="5"/>
  <c r="A510" i="5"/>
  <c r="A518" i="5"/>
  <c r="A526" i="5"/>
  <c r="A534" i="5"/>
  <c r="A542" i="5"/>
  <c r="A550" i="5"/>
  <c r="A558" i="5"/>
  <c r="A566" i="5"/>
  <c r="A574" i="5"/>
  <c r="A582" i="5"/>
  <c r="A590" i="5"/>
  <c r="A598" i="5"/>
  <c r="A606" i="5"/>
  <c r="A614" i="5"/>
  <c r="A622" i="5"/>
  <c r="A630" i="5"/>
  <c r="A638" i="5"/>
  <c r="A646" i="5"/>
  <c r="A654" i="5"/>
  <c r="A662" i="5"/>
  <c r="A670" i="5"/>
  <c r="A678" i="5"/>
  <c r="A686" i="5"/>
  <c r="A694" i="5"/>
  <c r="A702" i="5"/>
  <c r="A710" i="5"/>
  <c r="A718" i="5"/>
  <c r="A726" i="5"/>
  <c r="A734" i="5"/>
  <c r="A742" i="5"/>
  <c r="A750" i="5"/>
  <c r="A758" i="5"/>
  <c r="A766" i="5"/>
  <c r="A774" i="5"/>
  <c r="A782" i="5"/>
  <c r="A790" i="5"/>
  <c r="A798" i="5"/>
  <c r="A806" i="5"/>
  <c r="A814" i="5"/>
  <c r="A822" i="5"/>
  <c r="A830" i="5"/>
  <c r="A838" i="5"/>
  <c r="A846" i="5"/>
  <c r="A854" i="5"/>
  <c r="A862" i="5"/>
  <c r="A870" i="5"/>
  <c r="A878" i="5"/>
  <c r="A886" i="5"/>
  <c r="A894" i="5"/>
  <c r="A902" i="5"/>
  <c r="A910" i="5"/>
  <c r="A918" i="5"/>
  <c r="A926" i="5"/>
  <c r="A919" i="5"/>
  <c r="A17" i="5"/>
  <c r="A113" i="5"/>
  <c r="A185" i="5"/>
  <c r="A241" i="5"/>
  <c r="A289" i="5"/>
  <c r="A337" i="5"/>
  <c r="A393" i="5"/>
  <c r="A449" i="5"/>
  <c r="A7" i="5"/>
  <c r="A15" i="5"/>
  <c r="A23" i="5"/>
  <c r="A31" i="5"/>
  <c r="A39" i="5"/>
  <c r="A47" i="5"/>
  <c r="A55" i="5"/>
  <c r="A63" i="5"/>
  <c r="A71" i="5"/>
  <c r="A79" i="5"/>
  <c r="A87" i="5"/>
  <c r="A95" i="5"/>
  <c r="A103" i="5"/>
  <c r="A111" i="5"/>
  <c r="A119" i="5"/>
  <c r="A127" i="5"/>
  <c r="A135" i="5"/>
  <c r="A143" i="5"/>
  <c r="A151" i="5"/>
  <c r="A159" i="5"/>
  <c r="A167" i="5"/>
  <c r="A175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367" i="5"/>
  <c r="A375" i="5"/>
  <c r="A383" i="5"/>
  <c r="A391" i="5"/>
  <c r="A399" i="5"/>
  <c r="A407" i="5"/>
  <c r="A415" i="5"/>
  <c r="A423" i="5"/>
  <c r="A431" i="5"/>
  <c r="A439" i="5"/>
  <c r="A447" i="5"/>
  <c r="A455" i="5"/>
  <c r="A463" i="5"/>
  <c r="A471" i="5"/>
  <c r="A479" i="5"/>
  <c r="A487" i="5"/>
  <c r="A495" i="5"/>
  <c r="A503" i="5"/>
  <c r="A511" i="5"/>
  <c r="A519" i="5"/>
  <c r="A527" i="5"/>
  <c r="A535" i="5"/>
  <c r="A543" i="5"/>
  <c r="A551" i="5"/>
  <c r="A559" i="5"/>
  <c r="A567" i="5"/>
  <c r="A575" i="5"/>
  <c r="A583" i="5"/>
  <c r="A591" i="5"/>
  <c r="A599" i="5"/>
  <c r="A607" i="5"/>
  <c r="A615" i="5"/>
  <c r="A623" i="5"/>
  <c r="A631" i="5"/>
  <c r="A639" i="5"/>
  <c r="A647" i="5"/>
  <c r="A655" i="5"/>
  <c r="A663" i="5"/>
  <c r="A671" i="5"/>
  <c r="A679" i="5"/>
  <c r="A687" i="5"/>
  <c r="A695" i="5"/>
  <c r="A703" i="5"/>
  <c r="A711" i="5"/>
  <c r="A719" i="5"/>
  <c r="A727" i="5"/>
  <c r="A735" i="5"/>
  <c r="A743" i="5"/>
  <c r="A751" i="5"/>
  <c r="A759" i="5"/>
  <c r="A767" i="5"/>
  <c r="A775" i="5"/>
  <c r="A783" i="5"/>
  <c r="A791" i="5"/>
  <c r="A799" i="5"/>
  <c r="A807" i="5"/>
  <c r="A815" i="5"/>
  <c r="A823" i="5"/>
  <c r="A831" i="5"/>
  <c r="A839" i="5"/>
  <c r="A847" i="5"/>
  <c r="A855" i="5"/>
  <c r="A863" i="5"/>
  <c r="A871" i="5"/>
  <c r="A879" i="5"/>
  <c r="A887" i="5"/>
  <c r="A895" i="5"/>
  <c r="A903" i="5"/>
  <c r="A911" i="5"/>
  <c r="A927" i="5"/>
  <c r="A57" i="5"/>
  <c r="A121" i="5"/>
  <c r="A161" i="5"/>
  <c r="A217" i="5"/>
  <c r="A297" i="5"/>
  <c r="A353" i="5"/>
  <c r="A385" i="5"/>
  <c r="A433" i="5"/>
  <c r="A489" i="5"/>
  <c r="A8" i="5"/>
  <c r="A16" i="5"/>
  <c r="A24" i="5"/>
  <c r="A32" i="5"/>
  <c r="A40" i="5"/>
  <c r="A48" i="5"/>
  <c r="A56" i="5"/>
  <c r="A64" i="5"/>
  <c r="A72" i="5"/>
  <c r="A80" i="5"/>
  <c r="A88" i="5"/>
  <c r="A96" i="5"/>
  <c r="A104" i="5"/>
  <c r="A112" i="5"/>
  <c r="A120" i="5"/>
  <c r="A128" i="5"/>
  <c r="A136" i="5"/>
  <c r="A144" i="5"/>
  <c r="A152" i="5"/>
  <c r="A160" i="5"/>
  <c r="A168" i="5"/>
  <c r="A176" i="5"/>
  <c r="A184" i="5"/>
  <c r="A192" i="5"/>
  <c r="A200" i="5"/>
  <c r="A208" i="5"/>
  <c r="A216" i="5"/>
  <c r="A224" i="5"/>
  <c r="A232" i="5"/>
  <c r="A240" i="5"/>
  <c r="A248" i="5"/>
  <c r="A256" i="5"/>
  <c r="A264" i="5"/>
  <c r="A272" i="5"/>
  <c r="A280" i="5"/>
  <c r="A288" i="5"/>
  <c r="A296" i="5"/>
  <c r="A304" i="5"/>
  <c r="A312" i="5"/>
  <c r="A320" i="5"/>
  <c r="A328" i="5"/>
  <c r="A336" i="5"/>
  <c r="A344" i="5"/>
  <c r="A352" i="5"/>
  <c r="A360" i="5"/>
  <c r="A368" i="5"/>
  <c r="A376" i="5"/>
  <c r="A384" i="5"/>
  <c r="A392" i="5"/>
  <c r="A400" i="5"/>
  <c r="A408" i="5"/>
  <c r="A416" i="5"/>
  <c r="A424" i="5"/>
  <c r="A432" i="5"/>
  <c r="A440" i="5"/>
  <c r="A448" i="5"/>
  <c r="A456" i="5"/>
  <c r="A464" i="5"/>
  <c r="A472" i="5"/>
  <c r="A480" i="5"/>
  <c r="A488" i="5"/>
  <c r="A496" i="5"/>
  <c r="A504" i="5"/>
  <c r="A512" i="5"/>
  <c r="A520" i="5"/>
  <c r="A528" i="5"/>
  <c r="A536" i="5"/>
  <c r="A544" i="5"/>
  <c r="A552" i="5"/>
  <c r="A560" i="5"/>
  <c r="A568" i="5"/>
  <c r="A576" i="5"/>
  <c r="A584" i="5"/>
  <c r="A592" i="5"/>
  <c r="A600" i="5"/>
  <c r="A608" i="5"/>
  <c r="A616" i="5"/>
  <c r="A624" i="5"/>
  <c r="A632" i="5"/>
  <c r="A640" i="5"/>
  <c r="A648" i="5"/>
  <c r="A656" i="5"/>
  <c r="A664" i="5"/>
  <c r="A672" i="5"/>
  <c r="A680" i="5"/>
  <c r="A688" i="5"/>
  <c r="A696" i="5"/>
  <c r="A704" i="5"/>
  <c r="A712" i="5"/>
  <c r="A720" i="5"/>
  <c r="A728" i="5"/>
  <c r="A736" i="5"/>
  <c r="A744" i="5"/>
  <c r="A752" i="5"/>
  <c r="A760" i="5"/>
  <c r="A768" i="5"/>
  <c r="A776" i="5"/>
  <c r="A784" i="5"/>
  <c r="A792" i="5"/>
  <c r="A800" i="5"/>
  <c r="A808" i="5"/>
  <c r="A816" i="5"/>
  <c r="A824" i="5"/>
  <c r="A832" i="5"/>
  <c r="A840" i="5"/>
  <c r="A848" i="5"/>
  <c r="A856" i="5"/>
  <c r="A864" i="5"/>
  <c r="A872" i="5"/>
  <c r="A880" i="5"/>
  <c r="A888" i="5"/>
  <c r="A896" i="5"/>
  <c r="A904" i="5"/>
  <c r="A912" i="5"/>
  <c r="A920" i="5"/>
  <c r="A928" i="5"/>
  <c r="A9" i="5"/>
  <c r="A73" i="5"/>
  <c r="A137" i="5"/>
  <c r="A193" i="5"/>
  <c r="A249" i="5"/>
  <c r="A305" i="5"/>
  <c r="A377" i="5"/>
  <c r="A441" i="5"/>
  <c r="A497" i="5"/>
  <c r="A561" i="5"/>
  <c r="A625" i="5"/>
  <c r="A689" i="5"/>
  <c r="A753" i="5"/>
  <c r="A817" i="5"/>
  <c r="A881" i="5"/>
  <c r="A769" i="5"/>
  <c r="A905" i="5"/>
  <c r="A537" i="5"/>
  <c r="A737" i="5"/>
  <c r="A617" i="5"/>
  <c r="A505" i="5"/>
  <c r="A569" i="5"/>
  <c r="A633" i="5"/>
  <c r="A697" i="5"/>
  <c r="A761" i="5"/>
  <c r="A825" i="5"/>
  <c r="A889" i="5"/>
  <c r="A833" i="5"/>
  <c r="A721" i="5"/>
  <c r="A601" i="5"/>
  <c r="A921" i="5"/>
  <c r="A865" i="5"/>
  <c r="A745" i="5"/>
  <c r="A513" i="5"/>
  <c r="A577" i="5"/>
  <c r="A641" i="5"/>
  <c r="A705" i="5"/>
  <c r="A897" i="5"/>
  <c r="A785" i="5"/>
  <c r="A729" i="5"/>
  <c r="A673" i="5"/>
  <c r="A681" i="5"/>
  <c r="A521" i="5"/>
  <c r="A585" i="5"/>
  <c r="A649" i="5"/>
  <c r="A713" i="5"/>
  <c r="A777" i="5"/>
  <c r="A841" i="5"/>
  <c r="A913" i="5"/>
  <c r="A793" i="5"/>
  <c r="A609" i="5"/>
  <c r="A809" i="5"/>
  <c r="A529" i="5"/>
  <c r="A593" i="5"/>
  <c r="A657" i="5"/>
  <c r="A849" i="5"/>
  <c r="A857" i="5"/>
  <c r="A801" i="5"/>
  <c r="A553" i="5"/>
  <c r="A665" i="5"/>
  <c r="A545" i="5"/>
  <c r="A873" i="5"/>
  <c r="A3" i="4"/>
  <c r="A11" i="4"/>
  <c r="A19" i="4"/>
  <c r="A27" i="4"/>
  <c r="A35" i="4"/>
  <c r="A43" i="4"/>
  <c r="A51" i="4"/>
  <c r="A59" i="4"/>
  <c r="A67" i="4"/>
  <c r="A75" i="4"/>
  <c r="A83" i="4"/>
  <c r="A91" i="4"/>
  <c r="A99" i="4"/>
  <c r="A107" i="4"/>
  <c r="A115" i="4"/>
  <c r="A123" i="4"/>
  <c r="A131" i="4"/>
  <c r="A139" i="4"/>
  <c r="A147" i="4"/>
  <c r="A155" i="4"/>
  <c r="A163" i="4"/>
  <c r="A171" i="4"/>
  <c r="A179" i="4"/>
  <c r="A187" i="4"/>
  <c r="A195" i="4"/>
  <c r="A203" i="4"/>
  <c r="A211" i="4"/>
  <c r="A219" i="4"/>
  <c r="A227" i="4"/>
  <c r="A235" i="4"/>
  <c r="A243" i="4"/>
  <c r="A251" i="4"/>
  <c r="A259" i="4"/>
  <c r="A267" i="4"/>
  <c r="A275" i="4"/>
  <c r="A283" i="4"/>
  <c r="A291" i="4"/>
  <c r="A299" i="4"/>
  <c r="A307" i="4"/>
  <c r="A315" i="4"/>
  <c r="A323" i="4"/>
  <c r="A331" i="4"/>
  <c r="A339" i="4"/>
  <c r="A347" i="4"/>
  <c r="A355" i="4"/>
  <c r="A363" i="4"/>
  <c r="A371" i="4"/>
  <c r="A379" i="4"/>
  <c r="A387" i="4"/>
  <c r="A395" i="4"/>
  <c r="A403" i="4"/>
  <c r="A411" i="4"/>
  <c r="A419" i="4"/>
  <c r="A427" i="4"/>
  <c r="A435" i="4"/>
  <c r="A443" i="4"/>
  <c r="A451" i="4"/>
  <c r="A459" i="4"/>
  <c r="A467" i="4"/>
  <c r="A475" i="4"/>
  <c r="A483" i="4"/>
  <c r="A491" i="4"/>
  <c r="A499" i="4"/>
  <c r="A507" i="4"/>
  <c r="A515" i="4"/>
  <c r="A523" i="4"/>
  <c r="A531" i="4"/>
  <c r="A539" i="4"/>
  <c r="A532" i="4"/>
  <c r="A33" i="4"/>
  <c r="A121" i="4"/>
  <c r="A145" i="4"/>
  <c r="A177" i="4"/>
  <c r="A225" i="4"/>
  <c r="A289" i="4"/>
  <c r="A337" i="4"/>
  <c r="A393" i="4"/>
  <c r="A441" i="4"/>
  <c r="A489" i="4"/>
  <c r="A537" i="4"/>
  <c r="A4" i="4"/>
  <c r="A12" i="4"/>
  <c r="A20" i="4"/>
  <c r="A28" i="4"/>
  <c r="A36" i="4"/>
  <c r="A44" i="4"/>
  <c r="A52" i="4"/>
  <c r="A60" i="4"/>
  <c r="A68" i="4"/>
  <c r="A76" i="4"/>
  <c r="A84" i="4"/>
  <c r="A92" i="4"/>
  <c r="A100" i="4"/>
  <c r="A108" i="4"/>
  <c r="A116" i="4"/>
  <c r="A124" i="4"/>
  <c r="A132" i="4"/>
  <c r="A140" i="4"/>
  <c r="A148" i="4"/>
  <c r="A156" i="4"/>
  <c r="A164" i="4"/>
  <c r="A172" i="4"/>
  <c r="A180" i="4"/>
  <c r="A188" i="4"/>
  <c r="A196" i="4"/>
  <c r="A204" i="4"/>
  <c r="A212" i="4"/>
  <c r="A220" i="4"/>
  <c r="A228" i="4"/>
  <c r="A236" i="4"/>
  <c r="A244" i="4"/>
  <c r="A252" i="4"/>
  <c r="A260" i="4"/>
  <c r="A268" i="4"/>
  <c r="A276" i="4"/>
  <c r="A284" i="4"/>
  <c r="A292" i="4"/>
  <c r="A300" i="4"/>
  <c r="A308" i="4"/>
  <c r="A316" i="4"/>
  <c r="A324" i="4"/>
  <c r="A332" i="4"/>
  <c r="A340" i="4"/>
  <c r="A348" i="4"/>
  <c r="A356" i="4"/>
  <c r="A364" i="4"/>
  <c r="A372" i="4"/>
  <c r="A380" i="4"/>
  <c r="A388" i="4"/>
  <c r="A396" i="4"/>
  <c r="A404" i="4"/>
  <c r="A412" i="4"/>
  <c r="A420" i="4"/>
  <c r="A428" i="4"/>
  <c r="A436" i="4"/>
  <c r="A444" i="4"/>
  <c r="A452" i="4"/>
  <c r="A460" i="4"/>
  <c r="A468" i="4"/>
  <c r="A476" i="4"/>
  <c r="A484" i="4"/>
  <c r="A492" i="4"/>
  <c r="A500" i="4"/>
  <c r="A508" i="4"/>
  <c r="A516" i="4"/>
  <c r="A524" i="4"/>
  <c r="A540" i="4"/>
  <c r="A41" i="4"/>
  <c r="A193" i="4"/>
  <c r="A257" i="4"/>
  <c r="A305" i="4"/>
  <c r="A361" i="4"/>
  <c r="A433" i="4"/>
  <c r="A505" i="4"/>
  <c r="A5" i="4"/>
  <c r="A13" i="4"/>
  <c r="A21" i="4"/>
  <c r="A29" i="4"/>
  <c r="A37" i="4"/>
  <c r="A45" i="4"/>
  <c r="A53" i="4"/>
  <c r="A61" i="4"/>
  <c r="A69" i="4"/>
  <c r="A77" i="4"/>
  <c r="A85" i="4"/>
  <c r="A93" i="4"/>
  <c r="A101" i="4"/>
  <c r="A109" i="4"/>
  <c r="A117" i="4"/>
  <c r="A125" i="4"/>
  <c r="A133" i="4"/>
  <c r="A141" i="4"/>
  <c r="A149" i="4"/>
  <c r="A157" i="4"/>
  <c r="A165" i="4"/>
  <c r="A173" i="4"/>
  <c r="A181" i="4"/>
  <c r="A189" i="4"/>
  <c r="A197" i="4"/>
  <c r="A205" i="4"/>
  <c r="A213" i="4"/>
  <c r="A221" i="4"/>
  <c r="A229" i="4"/>
  <c r="A237" i="4"/>
  <c r="A245" i="4"/>
  <c r="A253" i="4"/>
  <c r="A261" i="4"/>
  <c r="A269" i="4"/>
  <c r="A277" i="4"/>
  <c r="A285" i="4"/>
  <c r="A293" i="4"/>
  <c r="A301" i="4"/>
  <c r="A309" i="4"/>
  <c r="A317" i="4"/>
  <c r="A325" i="4"/>
  <c r="A333" i="4"/>
  <c r="A341" i="4"/>
  <c r="A349" i="4"/>
  <c r="A357" i="4"/>
  <c r="A365" i="4"/>
  <c r="A373" i="4"/>
  <c r="A381" i="4"/>
  <c r="A389" i="4"/>
  <c r="A397" i="4"/>
  <c r="A405" i="4"/>
  <c r="A413" i="4"/>
  <c r="A421" i="4"/>
  <c r="A429" i="4"/>
  <c r="A437" i="4"/>
  <c r="A445" i="4"/>
  <c r="A453" i="4"/>
  <c r="A461" i="4"/>
  <c r="A469" i="4"/>
  <c r="A477" i="4"/>
  <c r="A485" i="4"/>
  <c r="A493" i="4"/>
  <c r="A501" i="4"/>
  <c r="A509" i="4"/>
  <c r="A517" i="4"/>
  <c r="A525" i="4"/>
  <c r="A533" i="4"/>
  <c r="A541" i="4"/>
  <c r="A49" i="4"/>
  <c r="A185" i="4"/>
  <c r="A249" i="4"/>
  <c r="A313" i="4"/>
  <c r="A377" i="4"/>
  <c r="A457" i="4"/>
  <c r="A521" i="4"/>
  <c r="A6" i="4"/>
  <c r="A14" i="4"/>
  <c r="A22" i="4"/>
  <c r="A30" i="4"/>
  <c r="A38" i="4"/>
  <c r="A46" i="4"/>
  <c r="A54" i="4"/>
  <c r="A62" i="4"/>
  <c r="A70" i="4"/>
  <c r="A78" i="4"/>
  <c r="A86" i="4"/>
  <c r="A94" i="4"/>
  <c r="A102" i="4"/>
  <c r="A110" i="4"/>
  <c r="A118" i="4"/>
  <c r="A126" i="4"/>
  <c r="A134" i="4"/>
  <c r="A142" i="4"/>
  <c r="A150" i="4"/>
  <c r="A158" i="4"/>
  <c r="A166" i="4"/>
  <c r="A174" i="4"/>
  <c r="A182" i="4"/>
  <c r="A190" i="4"/>
  <c r="A198" i="4"/>
  <c r="A206" i="4"/>
  <c r="A214" i="4"/>
  <c r="A222" i="4"/>
  <c r="A230" i="4"/>
  <c r="A238" i="4"/>
  <c r="A246" i="4"/>
  <c r="A254" i="4"/>
  <c r="A262" i="4"/>
  <c r="A270" i="4"/>
  <c r="A278" i="4"/>
  <c r="A286" i="4"/>
  <c r="A294" i="4"/>
  <c r="A302" i="4"/>
  <c r="A310" i="4"/>
  <c r="A318" i="4"/>
  <c r="A326" i="4"/>
  <c r="A334" i="4"/>
  <c r="A342" i="4"/>
  <c r="A350" i="4"/>
  <c r="A358" i="4"/>
  <c r="A366" i="4"/>
  <c r="A374" i="4"/>
  <c r="A382" i="4"/>
  <c r="A390" i="4"/>
  <c r="A398" i="4"/>
  <c r="A406" i="4"/>
  <c r="A414" i="4"/>
  <c r="A422" i="4"/>
  <c r="A430" i="4"/>
  <c r="A438" i="4"/>
  <c r="A446" i="4"/>
  <c r="A454" i="4"/>
  <c r="A462" i="4"/>
  <c r="A470" i="4"/>
  <c r="A478" i="4"/>
  <c r="A486" i="4"/>
  <c r="A494" i="4"/>
  <c r="A502" i="4"/>
  <c r="A510" i="4"/>
  <c r="A518" i="4"/>
  <c r="A526" i="4"/>
  <c r="A534" i="4"/>
  <c r="A542" i="4"/>
  <c r="A17" i="4"/>
  <c r="A57" i="4"/>
  <c r="A73" i="4"/>
  <c r="A81" i="4"/>
  <c r="A89" i="4"/>
  <c r="A97" i="4"/>
  <c r="A105" i="4"/>
  <c r="A137" i="4"/>
  <c r="A161" i="4"/>
  <c r="A209" i="4"/>
  <c r="A241" i="4"/>
  <c r="A281" i="4"/>
  <c r="A329" i="4"/>
  <c r="A385" i="4"/>
  <c r="A425" i="4"/>
  <c r="A473" i="4"/>
  <c r="A7" i="4"/>
  <c r="A15" i="4"/>
  <c r="A23" i="4"/>
  <c r="A31" i="4"/>
  <c r="A39" i="4"/>
  <c r="A47" i="4"/>
  <c r="A55" i="4"/>
  <c r="A63" i="4"/>
  <c r="A71" i="4"/>
  <c r="A79" i="4"/>
  <c r="A87" i="4"/>
  <c r="A95" i="4"/>
  <c r="A103" i="4"/>
  <c r="A111" i="4"/>
  <c r="A119" i="4"/>
  <c r="A127" i="4"/>
  <c r="A135" i="4"/>
  <c r="A143" i="4"/>
  <c r="A151" i="4"/>
  <c r="A159" i="4"/>
  <c r="A167" i="4"/>
  <c r="A175" i="4"/>
  <c r="A183" i="4"/>
  <c r="A191" i="4"/>
  <c r="A199" i="4"/>
  <c r="A207" i="4"/>
  <c r="A215" i="4"/>
  <c r="A223" i="4"/>
  <c r="A231" i="4"/>
  <c r="A239" i="4"/>
  <c r="A247" i="4"/>
  <c r="A255" i="4"/>
  <c r="A263" i="4"/>
  <c r="A271" i="4"/>
  <c r="A279" i="4"/>
  <c r="A287" i="4"/>
  <c r="A295" i="4"/>
  <c r="A303" i="4"/>
  <c r="A311" i="4"/>
  <c r="A319" i="4"/>
  <c r="A327" i="4"/>
  <c r="A335" i="4"/>
  <c r="A343" i="4"/>
  <c r="A351" i="4"/>
  <c r="A359" i="4"/>
  <c r="A367" i="4"/>
  <c r="A375" i="4"/>
  <c r="A383" i="4"/>
  <c r="A391" i="4"/>
  <c r="A399" i="4"/>
  <c r="A407" i="4"/>
  <c r="A415" i="4"/>
  <c r="A423" i="4"/>
  <c r="A431" i="4"/>
  <c r="A439" i="4"/>
  <c r="A447" i="4"/>
  <c r="A455" i="4"/>
  <c r="A463" i="4"/>
  <c r="A471" i="4"/>
  <c r="A479" i="4"/>
  <c r="A487" i="4"/>
  <c r="A495" i="4"/>
  <c r="A503" i="4"/>
  <c r="A511" i="4"/>
  <c r="A519" i="4"/>
  <c r="A527" i="4"/>
  <c r="A535" i="4"/>
  <c r="A543" i="4"/>
  <c r="A25" i="4"/>
  <c r="A113" i="4"/>
  <c r="A153" i="4"/>
  <c r="A201" i="4"/>
  <c r="A233" i="4"/>
  <c r="A297" i="4"/>
  <c r="A345" i="4"/>
  <c r="A401" i="4"/>
  <c r="A449" i="4"/>
  <c r="A497" i="4"/>
  <c r="A8" i="4"/>
  <c r="A16" i="4"/>
  <c r="A24" i="4"/>
  <c r="A32" i="4"/>
  <c r="A40" i="4"/>
  <c r="A48" i="4"/>
  <c r="A56" i="4"/>
  <c r="A64" i="4"/>
  <c r="A72" i="4"/>
  <c r="A80" i="4"/>
  <c r="A88" i="4"/>
  <c r="A96" i="4"/>
  <c r="A104" i="4"/>
  <c r="A112" i="4"/>
  <c r="A120" i="4"/>
  <c r="A128" i="4"/>
  <c r="A136" i="4"/>
  <c r="A144" i="4"/>
  <c r="A152" i="4"/>
  <c r="A160" i="4"/>
  <c r="A168" i="4"/>
  <c r="A176" i="4"/>
  <c r="A184" i="4"/>
  <c r="A192" i="4"/>
  <c r="A200" i="4"/>
  <c r="A208" i="4"/>
  <c r="A216" i="4"/>
  <c r="A224" i="4"/>
  <c r="A232" i="4"/>
  <c r="A240" i="4"/>
  <c r="A248" i="4"/>
  <c r="A256" i="4"/>
  <c r="A264" i="4"/>
  <c r="A272" i="4"/>
  <c r="A280" i="4"/>
  <c r="A288" i="4"/>
  <c r="A296" i="4"/>
  <c r="A304" i="4"/>
  <c r="A312" i="4"/>
  <c r="A320" i="4"/>
  <c r="A328" i="4"/>
  <c r="A336" i="4"/>
  <c r="A344" i="4"/>
  <c r="A352" i="4"/>
  <c r="A360" i="4"/>
  <c r="A368" i="4"/>
  <c r="A376" i="4"/>
  <c r="A384" i="4"/>
  <c r="A392" i="4"/>
  <c r="A400" i="4"/>
  <c r="A408" i="4"/>
  <c r="A416" i="4"/>
  <c r="A424" i="4"/>
  <c r="A432" i="4"/>
  <c r="A440" i="4"/>
  <c r="A448" i="4"/>
  <c r="A456" i="4"/>
  <c r="A464" i="4"/>
  <c r="A472" i="4"/>
  <c r="A480" i="4"/>
  <c r="A488" i="4"/>
  <c r="A496" i="4"/>
  <c r="A504" i="4"/>
  <c r="A512" i="4"/>
  <c r="A520" i="4"/>
  <c r="A528" i="4"/>
  <c r="A536" i="4"/>
  <c r="A544" i="4"/>
  <c r="A9" i="4"/>
  <c r="A129" i="4"/>
  <c r="A169" i="4"/>
  <c r="A217" i="4"/>
  <c r="A273" i="4"/>
  <c r="A321" i="4"/>
  <c r="A369" i="4"/>
  <c r="A417" i="4"/>
  <c r="A481" i="4"/>
  <c r="A529" i="4"/>
  <c r="A10" i="4"/>
  <c r="A18" i="4"/>
  <c r="A26" i="4"/>
  <c r="A34" i="4"/>
  <c r="A42" i="4"/>
  <c r="A50" i="4"/>
  <c r="A58" i="4"/>
  <c r="A66" i="4"/>
  <c r="A74" i="4"/>
  <c r="A82" i="4"/>
  <c r="A90" i="4"/>
  <c r="A98" i="4"/>
  <c r="A106" i="4"/>
  <c r="A114" i="4"/>
  <c r="A122" i="4"/>
  <c r="A130" i="4"/>
  <c r="A138" i="4"/>
  <c r="A146" i="4"/>
  <c r="A154" i="4"/>
  <c r="A162" i="4"/>
  <c r="A170" i="4"/>
  <c r="A178" i="4"/>
  <c r="A186" i="4"/>
  <c r="A194" i="4"/>
  <c r="A202" i="4"/>
  <c r="A210" i="4"/>
  <c r="A218" i="4"/>
  <c r="A226" i="4"/>
  <c r="A234" i="4"/>
  <c r="A242" i="4"/>
  <c r="A250" i="4"/>
  <c r="A258" i="4"/>
  <c r="A266" i="4"/>
  <c r="A274" i="4"/>
  <c r="A282" i="4"/>
  <c r="A290" i="4"/>
  <c r="A298" i="4"/>
  <c r="A306" i="4"/>
  <c r="A314" i="4"/>
  <c r="A322" i="4"/>
  <c r="A330" i="4"/>
  <c r="A338" i="4"/>
  <c r="A346" i="4"/>
  <c r="A354" i="4"/>
  <c r="A362" i="4"/>
  <c r="A370" i="4"/>
  <c r="A378" i="4"/>
  <c r="A386" i="4"/>
  <c r="A394" i="4"/>
  <c r="A402" i="4"/>
  <c r="A410" i="4"/>
  <c r="A418" i="4"/>
  <c r="A426" i="4"/>
  <c r="A434" i="4"/>
  <c r="A442" i="4"/>
  <c r="A450" i="4"/>
  <c r="A458" i="4"/>
  <c r="A466" i="4"/>
  <c r="A474" i="4"/>
  <c r="A482" i="4"/>
  <c r="A490" i="4"/>
  <c r="A498" i="4"/>
  <c r="A506" i="4"/>
  <c r="A514" i="4"/>
  <c r="A522" i="4"/>
  <c r="A530" i="4"/>
  <c r="A538" i="4"/>
  <c r="A65" i="4"/>
  <c r="A265" i="4"/>
  <c r="A353" i="4"/>
  <c r="A409" i="4"/>
  <c r="A465" i="4"/>
  <c r="A513" i="4"/>
  <c r="A3" i="1"/>
  <c r="A11" i="1"/>
  <c r="A19" i="1"/>
  <c r="A27" i="1"/>
  <c r="A35" i="1"/>
  <c r="A43" i="1"/>
  <c r="A51" i="1"/>
  <c r="A59" i="1"/>
  <c r="A67" i="1"/>
  <c r="A75" i="1"/>
  <c r="A83" i="1"/>
  <c r="A91" i="1"/>
  <c r="A99" i="1"/>
  <c r="A107" i="1"/>
  <c r="A115" i="1"/>
  <c r="A123" i="1"/>
  <c r="A139" i="1"/>
  <c r="A69" i="1"/>
  <c r="A133" i="1"/>
  <c r="A14" i="1"/>
  <c r="A62" i="1"/>
  <c r="A118" i="1"/>
  <c r="A4" i="1"/>
  <c r="A12" i="1"/>
  <c r="A20" i="1"/>
  <c r="A28" i="1"/>
  <c r="A36" i="1"/>
  <c r="A44" i="1"/>
  <c r="A52" i="1"/>
  <c r="A60" i="1"/>
  <c r="A68" i="1"/>
  <c r="A76" i="1"/>
  <c r="A84" i="1"/>
  <c r="A92" i="1"/>
  <c r="A100" i="1"/>
  <c r="A108" i="1"/>
  <c r="A116" i="1"/>
  <c r="A124" i="1"/>
  <c r="A132" i="1"/>
  <c r="A140" i="1"/>
  <c r="A148" i="1"/>
  <c r="A156" i="1"/>
  <c r="A5" i="1"/>
  <c r="A13" i="1"/>
  <c r="A21" i="1"/>
  <c r="A29" i="1"/>
  <c r="A37" i="1"/>
  <c r="A45" i="1"/>
  <c r="A53" i="1"/>
  <c r="A85" i="1"/>
  <c r="A101" i="1"/>
  <c r="A125" i="1"/>
  <c r="A149" i="1"/>
  <c r="A22" i="1"/>
  <c r="A38" i="1"/>
  <c r="A70" i="1"/>
  <c r="A110" i="1"/>
  <c r="A142" i="1"/>
  <c r="A7" i="1"/>
  <c r="A15" i="1"/>
  <c r="A23" i="1"/>
  <c r="A31" i="1"/>
  <c r="A39" i="1"/>
  <c r="A47" i="1"/>
  <c r="A55" i="1"/>
  <c r="A63" i="1"/>
  <c r="A71" i="1"/>
  <c r="A79" i="1"/>
  <c r="A87" i="1"/>
  <c r="A95" i="1"/>
  <c r="A103" i="1"/>
  <c r="A111" i="1"/>
  <c r="A119" i="1"/>
  <c r="A127" i="1"/>
  <c r="A135" i="1"/>
  <c r="A143" i="1"/>
  <c r="A151" i="1"/>
  <c r="A159" i="1"/>
  <c r="A16" i="1"/>
  <c r="A24" i="1"/>
  <c r="A32" i="1"/>
  <c r="A48" i="1"/>
  <c r="A56" i="1"/>
  <c r="A72" i="1"/>
  <c r="A88" i="1"/>
  <c r="A104" i="1"/>
  <c r="A120" i="1"/>
  <c r="A128" i="1"/>
  <c r="A144" i="1"/>
  <c r="A160" i="1"/>
  <c r="A86" i="1"/>
  <c r="A150" i="1"/>
  <c r="A8" i="1"/>
  <c r="A40" i="1"/>
  <c r="A64" i="1"/>
  <c r="A80" i="1"/>
  <c r="A96" i="1"/>
  <c r="A112" i="1"/>
  <c r="A136" i="1"/>
  <c r="A152" i="1"/>
  <c r="A54" i="1"/>
  <c r="A102" i="1"/>
  <c r="A158" i="1"/>
  <c r="A9" i="1"/>
  <c r="A17" i="1"/>
  <c r="A25" i="1"/>
  <c r="A33" i="1"/>
  <c r="A41" i="1"/>
  <c r="A49" i="1"/>
  <c r="A57" i="1"/>
  <c r="A65" i="1"/>
  <c r="A73" i="1"/>
  <c r="A81" i="1"/>
  <c r="A89" i="1"/>
  <c r="A97" i="1"/>
  <c r="A105" i="1"/>
  <c r="A113" i="1"/>
  <c r="A121" i="1"/>
  <c r="A129" i="1"/>
  <c r="A137" i="1"/>
  <c r="A145" i="1"/>
  <c r="A153" i="1"/>
  <c r="A82" i="1"/>
  <c r="A98" i="1"/>
  <c r="A114" i="1"/>
  <c r="A130" i="1"/>
  <c r="A146" i="1"/>
  <c r="A131" i="1"/>
  <c r="A147" i="1"/>
  <c r="A61" i="1"/>
  <c r="A93" i="1"/>
  <c r="A109" i="1"/>
  <c r="A141" i="1"/>
  <c r="A6" i="1"/>
  <c r="A46" i="1"/>
  <c r="A94" i="1"/>
  <c r="A134" i="1"/>
  <c r="A10" i="1"/>
  <c r="A18" i="1"/>
  <c r="A26" i="1"/>
  <c r="A34" i="1"/>
  <c r="A42" i="1"/>
  <c r="A50" i="1"/>
  <c r="A58" i="1"/>
  <c r="A66" i="1"/>
  <c r="A74" i="1"/>
  <c r="A90" i="1"/>
  <c r="A106" i="1"/>
  <c r="A122" i="1"/>
  <c r="A138" i="1"/>
  <c r="A154" i="1"/>
  <c r="A155" i="1"/>
  <c r="A77" i="1"/>
  <c r="A117" i="1"/>
  <c r="A157" i="1"/>
  <c r="A30" i="1"/>
  <c r="A78" i="1"/>
  <c r="A126" i="1"/>
  <c r="A1" i="5"/>
  <c r="A2" i="1"/>
  <c r="A2" i="4"/>
</calcChain>
</file>

<file path=xl/sharedStrings.xml><?xml version="1.0" encoding="utf-8"?>
<sst xmlns="http://schemas.openxmlformats.org/spreadsheetml/2006/main" count="1636" uniqueCount="165">
  <si>
    <t>18 10 01 00 29 00 00</t>
  </si>
  <si>
    <t>18 10 01 02 2B 00</t>
  </si>
  <si>
    <t>10 30 8C 10 DC 24 A8 17 60 1F 00 00 00 00</t>
  </si>
  <si>
    <t>18 10 01 02 2B 00 00 00 00 00 00 00 00 00 00 00 00 00 00 00</t>
  </si>
  <si>
    <t>10 30 8C 11 DD 14 A8 17 60 10 00 00 00 00</t>
  </si>
  <si>
    <t>31 10 02 01 44 00</t>
  </si>
  <si>
    <t>10 31 8C 10 DD 24 A8 17 60 20 00 00 00 00</t>
  </si>
  <si>
    <t>18 10 01 04 2D 00 00</t>
  </si>
  <si>
    <t>18 10 01 01 2A 00 00</t>
  </si>
  <si>
    <t>31 11 88 11 DB 00 10 00 00 EB 00 00</t>
  </si>
  <si>
    <t>18 10 87 89 38 00 00 00 00 38 00 00</t>
  </si>
  <si>
    <t>18 10 F0 31 49 51 FF FF FF 00 00 00 00 40 D7 00 00</t>
  </si>
  <si>
    <t>31 11 21 10 73 00 00</t>
  </si>
  <si>
    <t>31 10 20 00 61 00 00</t>
  </si>
  <si>
    <t>31 10 84 95 5A 10 00 00 00 6A 00 00 00 00 00 00 00 00 00 00 00 00 00 00 00</t>
  </si>
  <si>
    <t xml:space="preserve">31 10 01 12 54 00 </t>
  </si>
  <si>
    <t>10 31 00 20 61 00 00 00 00 00 00 00 00 00</t>
  </si>
  <si>
    <t>31 10 84 97 5C 10 00 00 00 6C 00 00 00 00 00 00 00 00 00 00 00 00 00 00 00</t>
  </si>
  <si>
    <t>31 10 01 13 55 00</t>
  </si>
  <si>
    <t>70 31 C0 00 61 00 00 00 00 00 40 F1 33 1A</t>
  </si>
  <si>
    <t>77 31 C0 20 88 00 00 00 00 00 40 F1 33 18</t>
  </si>
  <si>
    <t>10 31 95 30 06 00 00 00 06 0C 00 00 00 00</t>
  </si>
  <si>
    <t>10 31 97 01 D9 77 88 00 10 E8 00 00 00 00</t>
  </si>
  <si>
    <t>10 31 D5 A0 B6 77 F8 00 F1 00 00 00 00 1A</t>
  </si>
  <si>
    <t>70 31 90 00 31 40 F1 33 1A AF 00 00 00 00</t>
  </si>
  <si>
    <t>10 31 00 00 41 00 00 00 00 00 00 00 00 00</t>
  </si>
  <si>
    <t>70 31 90 00 31 40 F1 34 1A B0 00 00 00 00</t>
  </si>
  <si>
    <t>31 10 01 13 55 00 10 31 95 30 06 00 00 00 06 0C 00 00 00 00</t>
  </si>
  <si>
    <t>70 31 90 00 31 40 F1 35 1A B1 00 00 00 00</t>
  </si>
  <si>
    <t>70 31 90 00 31 40 F1 36 1A B2 00 00 00 00</t>
  </si>
  <si>
    <t>70 31 90 00 31 40 F1 37 1A B3 00 00 00 00</t>
  </si>
  <si>
    <t>70 31 90 00 31 40 F1 38 1A B4 00 00 00 00</t>
  </si>
  <si>
    <t>70 31 90 00 31 40 F1 39 1A B5 00 00 00 00</t>
  </si>
  <si>
    <t>70 31 90 00 31 40 F1 46 1A C2 00 00 00 00</t>
  </si>
  <si>
    <t>envia esclavo?</t>
  </si>
  <si>
    <t>31 10 01 12 54 00</t>
  </si>
  <si>
    <t xml:space="preserve">10 31 00 00 41 00 00 00 00 00 00 00 00 00 </t>
  </si>
  <si>
    <t xml:space="preserve">31 10 01 13 55 00 </t>
  </si>
  <si>
    <t xml:space="preserve">10 31 95 30 06 00 00 00 06 0C 00 00 00 00 </t>
  </si>
  <si>
    <t xml:space="preserve">10 31 97 01 D9 69 88 00 20 EA 00 00 00 00 </t>
  </si>
  <si>
    <t xml:space="preserve">70 31 90 00 31 F1 F0 03 2A 3F 00 00 00 00 </t>
  </si>
  <si>
    <t xml:space="preserve">70 31 90 00 31 F1 F0 04 2A 40 00 00 00 00 </t>
  </si>
  <si>
    <t xml:space="preserve">70 31 90 00 31 F1 F0 05 2A 41 00 00 00 00 </t>
  </si>
  <si>
    <t xml:space="preserve">70 31 90 00 31 F1 F0 06 2A 42 00 00 00 00 </t>
  </si>
  <si>
    <t xml:space="preserve">31 11 B0 12 04 02 00 00 00 06 00 00 </t>
  </si>
  <si>
    <t xml:space="preserve">77 31 C0 20 88 00 00 00 00 00 F2 F0 00 28 </t>
  </si>
  <si>
    <t>70 31 90 00 31 F2 F0 00 2A 3D 00 00 00 00</t>
  </si>
  <si>
    <t>70 31 C0 00 61 00 00 00 00 00 F2 F0 00 2A</t>
  </si>
  <si>
    <t>10 31 D5 A0 B6 69 F8 00 F1 00 00 00 00 2A</t>
  </si>
  <si>
    <t>70 31 90 00 31 F2 F0 01 2A 3E 00 00 00 00</t>
  </si>
  <si>
    <t>70 31 90 00 31 F2 F0 02 2A 3F 00 00 00 00</t>
  </si>
  <si>
    <t>70 31 90 00 31 F2 F0 03 2A 40 00 00 00 00</t>
  </si>
  <si>
    <t>31 11 B0 12 04 03 00 00 00 07 00 00</t>
  </si>
  <si>
    <t>77 31 C0 20 88 00 00 00 00 00 F3 F0 00 28</t>
  </si>
  <si>
    <t>70 31 90 00 31 F3 F0 00 2A 3E 00 00 00 00</t>
  </si>
  <si>
    <t>70 31 C0 00 61 00 00 00 00 00 F3 F0 00 2A</t>
  </si>
  <si>
    <t>70 31 90 00 31 F3 F0 01 2A 3F 00 00 00 00</t>
  </si>
  <si>
    <t>70 31 90 00 31 F3 F0 02 2A 40 00 00 00 00</t>
  </si>
  <si>
    <t>31 11 B0 11 03 00 00 00 00 03 00 00</t>
  </si>
  <si>
    <t>77 31 C0 20 88 00 00 00 00 00 F3 F0 02 28</t>
  </si>
  <si>
    <t>70 31 C0 00 61 00 00 00 00 00 F1 F0 00 1A</t>
  </si>
  <si>
    <t>70 31 90 00 31 F1 F0 00 1A 2C 00 00 00 00</t>
  </si>
  <si>
    <t>70 31 90 00 31 F1 F0 01 1A 2D 00 00 00 00</t>
  </si>
  <si>
    <t>70 31 90 00 31 F1 F0 02 1A 2E 00 00 00 00</t>
  </si>
  <si>
    <t>70 31 90 00 31 F1 F0 03 1A 2F 00 00 00 00</t>
  </si>
  <si>
    <t>70 31 90 00 31 F1 F0 04 1A 30 00 00 00 00</t>
  </si>
  <si>
    <t>31 11 B0 12 04 00 00 00 00 04 00 00</t>
  </si>
  <si>
    <t>77 31 C0 20 88 00 00 00 00 00 F1 F0 04 18</t>
  </si>
  <si>
    <t>70 31 C0 00 61 00 00 00 00 00 F1 F0 00 2A</t>
  </si>
  <si>
    <t>70 31 90 00 31 F1 F0 00 2A 3C 00 00 00 00</t>
  </si>
  <si>
    <t>70 31 90 00 31 F1 F0 01 2A 3D 00 00 00 00</t>
  </si>
  <si>
    <t>70 31 90 00 31 F1 F0 02 2A 3E 00 00 00 00</t>
  </si>
  <si>
    <t>31 11 24 01 67 00 00</t>
  </si>
  <si>
    <t>77 31 C0 34 9C 00 00 00 00 00 F1 F0 03 28</t>
  </si>
  <si>
    <t>10 31 00 34 75 00 00 00 00 00 00 00 00 00</t>
  </si>
  <si>
    <t>70 31 90 00 31 F1 F0 03 28 3D 00 00 00 00</t>
  </si>
  <si>
    <t>70 31 90 00 31 F1 F0 15 28 4F 00 00 00 00</t>
  </si>
  <si>
    <t>70 31 90 00 31 F1 F0 24 28 5E 00 00 00 00</t>
  </si>
  <si>
    <t>70 31 90 00 31 F1 F0 36 28 70 00 00 00 00</t>
  </si>
  <si>
    <t>70 31 90 00 31 F1 F0 45 28 7F 00 00 00 00</t>
  </si>
  <si>
    <t>70 31 90 00 31 F1 F0 57 28 91 00 00 00 00</t>
  </si>
  <si>
    <t>31 11 21 10 73 00 00 18 11 08 00 31 00 00</t>
  </si>
  <si>
    <t>70 31 90 00 31 F1 F0 59 2A 95 00 00 00 00</t>
  </si>
  <si>
    <t>70 31 90 00 31 F1 F1 00 2A 3D 00 00 00 00</t>
  </si>
  <si>
    <t>70 31 90 00 31 F1 F1 01 2A 3E 00 00 00 00</t>
  </si>
  <si>
    <t>77 31 C0 34 9C 00 00 00 00 00 F2 F0 02 28</t>
  </si>
  <si>
    <t>70 31 90 00 31 F2 F0 07 28 42 00 00 00 00</t>
  </si>
  <si>
    <t>70 31 90 00 31 F2 F0 16 28 51 00 00 00 00</t>
  </si>
  <si>
    <t>70 31 90 00 31 F2 F0 26 28 61 00 00 00 00</t>
  </si>
  <si>
    <t>70 31 90 00 31 F2 F0 35 2A 72 00 00 00 00</t>
  </si>
  <si>
    <t>70 31 90 00 31 F2 F0 36 2A 73 00 00 00 00</t>
  </si>
  <si>
    <t>70 31 90 00 31 F2 F0 37 2A 74 00 00 00 00</t>
  </si>
  <si>
    <t>70 31 90 00 31 F2 F0 38 2A 75 00 00 00 00</t>
  </si>
  <si>
    <t>70 31 90 00 31 F2 F0 39 2A 76 00 00 00 00</t>
  </si>
  <si>
    <t>70 31 90 00 31 F2 F0 40 2A 7D 00 00 00 00</t>
  </si>
  <si>
    <t>70 31 90 00 31 F2 F0 41 2A 7E 00 00 00 00</t>
  </si>
  <si>
    <t>70 31 90 00 31 F2 F0 42 2A 7F 00 00 00 00</t>
  </si>
  <si>
    <t>70 31 90 00 31 F2 F0 44 2A 81 00 00 00 00</t>
  </si>
  <si>
    <t>70 31 90 00 31 F2 F0 45 2A 82 00 00 00 00</t>
  </si>
  <si>
    <t>70 31 90 00 31 F2 F0 46 2A 83 00 00 00 00</t>
  </si>
  <si>
    <t>70 31 90 00 31 F2 F0 47 2A 84 00 00 00 00</t>
  </si>
  <si>
    <t>70 31 90 00 31 F2 F0 48 2A 85 00 00 00 00</t>
  </si>
  <si>
    <t>70 31 90 00 31 43 F1 41 1A BF 00 00 00 00</t>
  </si>
  <si>
    <t>70 31 90 00 31 44 F1 41 1A C0 00 00 00 00</t>
  </si>
  <si>
    <t>70 31 90 00 31 45 F1 41 1A C1 00 00 00 00</t>
  </si>
  <si>
    <t>70 31 90 00 31 40 F1 40 1A BC 00 00 00 00</t>
  </si>
  <si>
    <t>70 31 90 00 31 41 F1 40 1A BD 00 00 00 00</t>
  </si>
  <si>
    <t>70 31 90 00 31 42 F1 41 1A BE 00 00 00 00</t>
  </si>
  <si>
    <t>18 10 01 00 29 00</t>
  </si>
  <si>
    <t>10 31 8C 11 DE 14 A8 17 60 11 00</t>
  </si>
  <si>
    <t>18 10 01 01 2A 00</t>
  </si>
  <si>
    <t>31 11 88 11 DB 00 10 00 00 EB 00</t>
  </si>
  <si>
    <t>18 10 87 89 38 00 00 00 00 38 00</t>
  </si>
  <si>
    <t>31 11 21 10 73 00</t>
  </si>
  <si>
    <t>31 10 20 00 61 00</t>
  </si>
  <si>
    <t>31 10 84 95 5A 10 00 00 00 6A 00</t>
  </si>
  <si>
    <t>10 31 00 40 81 00</t>
  </si>
  <si>
    <t>90 31 9C 00 5D 00 00 00 18 75 00</t>
  </si>
  <si>
    <t>18 11 08 00 31 00</t>
  </si>
  <si>
    <t>77 31 94 40 7C 00 00 00 00 7C 00</t>
  </si>
  <si>
    <t>31 10 84 97 5C 10 00 00 00 6C 00</t>
  </si>
  <si>
    <t>10 31 00 20 61 00</t>
  </si>
  <si>
    <t>77 31 94 20 5C 00 00 00 00 5C 00</t>
  </si>
  <si>
    <t>10 30 8C 11 DD 14 A8 17 60 10 00</t>
  </si>
  <si>
    <t>18 10 01 04 2D 00</t>
  </si>
  <si>
    <t>18 10 F0 31 49 51 FF FF FF 00 00 00 00 40 D7 00</t>
  </si>
  <si>
    <t>10 31 00 80 C1 00</t>
  </si>
  <si>
    <t>10 31 00 00 41 00</t>
  </si>
  <si>
    <t>70 31 90 00 31 F1 F0 01 18 2B 00</t>
  </si>
  <si>
    <t>70 31 90 00 31 F1 F0 03 1A 2F 00</t>
  </si>
  <si>
    <t>70 31 90 00 31 F1 F0 04 1A 30 00</t>
  </si>
  <si>
    <t>70 31 90 00 31 F1 F0 05 1A 31 00</t>
  </si>
  <si>
    <t>70 31 90 00 31 F1 F0 06 1A 32 00</t>
  </si>
  <si>
    <t>70 31 90 00 31 F1 F0 07 1A 33 00</t>
  </si>
  <si>
    <t>70 31 94 20 55 00 00 00 00 55 00</t>
  </si>
  <si>
    <t>31 11 B0 15 07 00 00 00 00 07 00</t>
  </si>
  <si>
    <t>10 31 97 01 D9 16 76 45 50 FA 00</t>
  </si>
  <si>
    <t>10 31 97 01 D9 99 00 00 10 82 00</t>
  </si>
  <si>
    <t>10 31 95 00 D6 00 00 00 06 DC 00</t>
  </si>
  <si>
    <t>10 31 97 01 D9 16 79 36 10 AE 00</t>
  </si>
  <si>
    <t>10 31 95 10 E6 00 00 00 06 EC 00</t>
  </si>
  <si>
    <t>10 31 97 01 D9 15 63 56 20 C7 00</t>
  </si>
  <si>
    <t>10 31 95 30 06 00 00 00 06 0C 00</t>
  </si>
  <si>
    <t>10 31 97 01 D9 16 76 45 30 DA 00</t>
  </si>
  <si>
    <t>70 31 95 70 A6 00 00 00 06 AC 00</t>
  </si>
  <si>
    <t>10 31 95 70 46 00 00 00 06 4C 00</t>
  </si>
  <si>
    <t>31 11 B0 14 06 00 00 00 00 06 00</t>
  </si>
  <si>
    <t>10 31 97 01 D9 99 00 00 40 B2 00</t>
  </si>
  <si>
    <t>10 31 97 01 D9 99 00 00 50 C2 00</t>
  </si>
  <si>
    <t>90 31 9C 00 5D 00 00 00 10 6D 00</t>
  </si>
  <si>
    <t>77 31 95 10 4D 00 00 00 06 53 00</t>
  </si>
  <si>
    <t>10 31 97 01 D9 16 79 36 20 BE 00</t>
  </si>
  <si>
    <t>10 31 97 01 D9 15 63 56 30 D7 00</t>
  </si>
  <si>
    <t>10 31 97 01 D9 16 76 45 40 EA 00</t>
  </si>
  <si>
    <t>10 31 97 01 D9 16 76 45 60 0A 00</t>
  </si>
  <si>
    <t>10 31 97 01 D9 16 76 45 10 BA 00</t>
  </si>
  <si>
    <t>10 31 97 01 D9 16 36 45 10 7A 00</t>
  </si>
  <si>
    <t>70 31 8E 40 6F 20 00 00 40 CF 00</t>
  </si>
  <si>
    <t>10 31 98 10 E9 00 00 01 40 2A 00</t>
  </si>
  <si>
    <t>10 31 97 01 D9 16 36 00 10 35 00</t>
  </si>
  <si>
    <t>10 31 98 10 E9 00 00 01 50 3A 00</t>
  </si>
  <si>
    <t>70 31 90 08 39 F1 F0 01 18 33 00</t>
  </si>
  <si>
    <t>DATA CAPTURED FROM  XCARLINK CD EMULATOR</t>
  </si>
  <si>
    <t>DATA CAPTURED FROM ORIGINAL CD CHANGER</t>
  </si>
  <si>
    <t>Parsing done using VBA macro - must enable macros for it to work!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</si>
</sst>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27">
    <dxf>
      <fill>
        <patternFill>
          <bgColor theme="5" tint="-0.24994659260841701"/>
        </patternFill>
      </fill>
    </dxf>
    <dxf>
      <fill>
        <patternFill>
          <bgColor rgb="FFAC75D5"/>
        </patternFill>
      </fill>
    </dxf>
    <dxf>
      <fill>
        <patternFill>
          <bgColor rgb="FF547BC8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547BC8"/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586"/>
  <sheetViews>
    <sheetView tabSelected="1" workbookViewId="0">
      <selection activeCell="C2" sqref="C2"/>
    </sheetView>
  </sheetViews>
  <sheetFormatPr baseColWidth="10" defaultRowHeight="15" x14ac:dyDescent="0.25"/>
  <cols>
    <col min="1" max="1" width="98.5703125" customWidth="1"/>
    <col min="2" max="2" width="63.28515625" bestFit="1" customWidth="1"/>
    <col min="3" max="4" width="11.85546875" bestFit="1" customWidth="1"/>
  </cols>
  <sheetData>
    <row r="1" spans="1:22" x14ac:dyDescent="0.25">
      <c r="C1" s="7" t="s">
        <v>162</v>
      </c>
      <c r="D1" s="7"/>
      <c r="E1" s="7"/>
      <c r="F1" s="7"/>
    </row>
    <row r="2" spans="1:22" x14ac:dyDescent="0.25">
      <c r="A2" t="str">
        <f>ParseUnilink(B2)</f>
        <v>01 MASTER REQUEST - BUS RESET</v>
      </c>
      <c r="B2" t="s">
        <v>0</v>
      </c>
      <c r="C2" s="7" t="s">
        <v>164</v>
      </c>
      <c r="V2" t="s">
        <v>34</v>
      </c>
    </row>
    <row r="3" spans="1:22" x14ac:dyDescent="0.25">
      <c r="A3" t="str">
        <f t="shared" ref="A3:A66" si="0">ParseUnilink(B3)</f>
        <v>01 MASTER REQUEST - ANYONE?</v>
      </c>
      <c r="B3" t="s">
        <v>1</v>
      </c>
      <c r="V3">
        <f>IF(    ISNUMBER(SEARCH("10 30",'power-on'!B2,1))  +  ISNUMBER(SEARCH("10 31",'power-on'!B2,1))  +  ISNUMBER(SEARCH("70 30",'power-on'!B2,1))  +  ISNUMBER(SEARCH("70 31",'power-on'!B2,1))  +  ISNUMBER(SEARCH("77 30",'power-on'!B2,1))  +  ISNUMBER(SEARCH("77 31",'power-on'!B2,1)),1,0)</f>
        <v>0</v>
      </c>
    </row>
    <row r="4" spans="1:22" x14ac:dyDescent="0.25">
      <c r="A4" t="str">
        <f t="shared" si="0"/>
        <v>8C DEVICE INFO</v>
      </c>
      <c r="B4" t="s">
        <v>2</v>
      </c>
      <c r="V4">
        <f>IF(    ISNUMBER(SEARCH("10 30",'power-on'!B3,1))  +  ISNUMBER(SEARCH("10 31",'power-on'!B3,1))  +  ISNUMBER(SEARCH("70 30",'power-on'!B3,1))  +  ISNUMBER(SEARCH("70 31",'power-on'!B3,1))  +  ISNUMBER(SEARCH("77 30",'power-on'!B3,1))  +  ISNUMBER(SEARCH("77 31",'power-on'!B3,1)),1,0)</f>
        <v>0</v>
      </c>
    </row>
    <row r="5" spans="1:22" x14ac:dyDescent="0.25">
      <c r="A5" t="str">
        <f t="shared" si="0"/>
        <v>01 MASTER REQUEST - ANYONE?</v>
      </c>
      <c r="B5" t="s">
        <v>3</v>
      </c>
      <c r="V5">
        <f>IF(    ISNUMBER(SEARCH("10 30",'power-on'!B4,1))  +  ISNUMBER(SEARCH("10 31",'power-on'!B4,1))  +  ISNUMBER(SEARCH("70 30",'power-on'!B4,1))  +  ISNUMBER(SEARCH("70 31",'power-on'!B4,1))  +  ISNUMBER(SEARCH("77 30",'power-on'!B4,1))  +  ISNUMBER(SEARCH("77 31",'power-on'!B4,1)),1,0)</f>
        <v>1</v>
      </c>
    </row>
    <row r="6" spans="1:22" x14ac:dyDescent="0.25">
      <c r="A6" t="str">
        <f t="shared" si="0"/>
        <v>01 MASTER REQUEST - ANYONE?</v>
      </c>
      <c r="B6" t="s">
        <v>3</v>
      </c>
      <c r="V6">
        <f>IF(    ISNUMBER(SEARCH("10 30",'power-on'!B5,1))  +  ISNUMBER(SEARCH("10 31",'power-on'!B5,1))  +  ISNUMBER(SEARCH("70 30",'power-on'!B5,1))  +  ISNUMBER(SEARCH("70 31",'power-on'!B5,1))  +  ISNUMBER(SEARCH("77 30",'power-on'!B5,1))  +  ISNUMBER(SEARCH("77 31",'power-on'!B5,1)),1,0)</f>
        <v>0</v>
      </c>
    </row>
    <row r="7" spans="1:22" x14ac:dyDescent="0.25">
      <c r="A7" t="str">
        <f t="shared" si="0"/>
        <v>01 MASTER REQUEST - BUS RESET</v>
      </c>
      <c r="B7" t="s">
        <v>0</v>
      </c>
      <c r="V7">
        <f>IF(    ISNUMBER(SEARCH("10 30",'power-on'!B6,1))  +  ISNUMBER(SEARCH("10 31",'power-on'!B6,1))  +  ISNUMBER(SEARCH("70 30",'power-on'!B6,1))  +  ISNUMBER(SEARCH("70 31",'power-on'!B6,1))  +  ISNUMBER(SEARCH("77 30",'power-on'!B6,1))  +  ISNUMBER(SEARCH("77 31",'power-on'!B6,1)),1,0)</f>
        <v>0</v>
      </c>
    </row>
    <row r="8" spans="1:22" x14ac:dyDescent="0.25">
      <c r="A8" t="str">
        <f t="shared" si="0"/>
        <v>01 MASTER REQUEST - ANYONE?</v>
      </c>
      <c r="B8" t="s">
        <v>1</v>
      </c>
      <c r="V8">
        <f>IF(    ISNUMBER(SEARCH("10 30",'power-on'!B7,1))  +  ISNUMBER(SEARCH("10 31",'power-on'!B7,1))  +  ISNUMBER(SEARCH("70 30",'power-on'!B7,1))  +  ISNUMBER(SEARCH("70 31",'power-on'!B7,1))  +  ISNUMBER(SEARCH("77 30",'power-on'!B7,1))  +  ISNUMBER(SEARCH("77 31",'power-on'!B7,1)),1,0)</f>
        <v>0</v>
      </c>
    </row>
    <row r="9" spans="1:22" x14ac:dyDescent="0.25">
      <c r="A9" t="str">
        <f t="shared" si="0"/>
        <v>8C DEVICE INFO</v>
      </c>
      <c r="B9" t="s">
        <v>4</v>
      </c>
      <c r="V9">
        <f>IF(    ISNUMBER(SEARCH("10 30",'power-on'!B8,1))  +  ISNUMBER(SEARCH("10 31",'power-on'!B8,1))  +  ISNUMBER(SEARCH("70 30",'power-on'!B8,1))  +  ISNUMBER(SEARCH("70 31",'power-on'!B8,1))  +  ISNUMBER(SEARCH("77 30",'power-on'!B8,1))  +  ISNUMBER(SEARCH("77 31",'power-on'!B8,1)),1,0)</f>
        <v>0</v>
      </c>
    </row>
    <row r="10" spans="1:22" x14ac:dyDescent="0.25">
      <c r="A10" t="str">
        <f t="shared" si="0"/>
        <v>02 CONFIG FROM MASTER - TELL SLAVE ABOUT ASSIGNED ID</v>
      </c>
      <c r="B10" t="s">
        <v>5</v>
      </c>
      <c r="V10">
        <f>IF(    ISNUMBER(SEARCH("10 30",'power-on'!B9,1))  +  ISNUMBER(SEARCH("10 31",'power-on'!B9,1))  +  ISNUMBER(SEARCH("70 30",'power-on'!B9,1))  +  ISNUMBER(SEARCH("70 31",'power-on'!B9,1))  +  ISNUMBER(SEARCH("77 30",'power-on'!B9,1))  +  ISNUMBER(SEARCH("77 31",'power-on'!B9,1)),1,0)</f>
        <v>1</v>
      </c>
    </row>
    <row r="11" spans="1:22" x14ac:dyDescent="0.25">
      <c r="A11" t="str">
        <f t="shared" si="0"/>
        <v>8C DEVICE INFO</v>
      </c>
      <c r="B11" t="s">
        <v>6</v>
      </c>
      <c r="D11" s="1"/>
      <c r="V11">
        <f>IF(    ISNUMBER(SEARCH("10 30",'power-on'!B10,1))  +  ISNUMBER(SEARCH("10 31",'power-on'!B10,1))  +  ISNUMBER(SEARCH("70 30",'power-on'!B10,1))  +  ISNUMBER(SEARCH("70 31",'power-on'!B10,1))  +  ISNUMBER(SEARCH("77 30",'power-on'!B10,1))  +  ISNUMBER(SEARCH("77 31",'power-on'!B10,1)),1,0)</f>
        <v>0</v>
      </c>
    </row>
    <row r="12" spans="1:22" x14ac:dyDescent="0.25">
      <c r="A12" t="str">
        <f t="shared" si="0"/>
        <v>01 MASTER REQUEST - APPOINT END</v>
      </c>
      <c r="B12" t="s">
        <v>7</v>
      </c>
      <c r="V12">
        <f>IF(    ISNUMBER(SEARCH("10 30",'power-on'!B11,1))  +  ISNUMBER(SEARCH("10 31",'power-on'!B11,1))  +  ISNUMBER(SEARCH("70 30",'power-on'!B11,1))  +  ISNUMBER(SEARCH("70 31",'power-on'!B11,1))  +  ISNUMBER(SEARCH("77 30",'power-on'!B11,1))  +  ISNUMBER(SEARCH("77 31",'power-on'!B11,1)),1,0)</f>
        <v>1</v>
      </c>
    </row>
    <row r="13" spans="1:22" x14ac:dyDescent="0.25">
      <c r="A13" t="str">
        <f t="shared" si="0"/>
        <v>01 MASTER REQUEST - ???</v>
      </c>
      <c r="B13" t="s">
        <v>8</v>
      </c>
      <c r="V13">
        <f>IF(    ISNUMBER(SEARCH("10 30",'power-on'!B12,1))  +  ISNUMBER(SEARCH("10 31",'power-on'!B12,1))  +  ISNUMBER(SEARCH("70 30",'power-on'!B12,1))  +  ISNUMBER(SEARCH("70 31",'power-on'!B12,1))  +  ISNUMBER(SEARCH("77 30",'power-on'!B12,1))  +  ISNUMBER(SEARCH("77 31",'power-on'!B12,1)),1,0)</f>
        <v>0</v>
      </c>
    </row>
    <row r="14" spans="1:22" x14ac:dyDescent="0.25">
      <c r="A14" t="str">
        <f t="shared" si="0"/>
        <v>88 FROM MASTER TO GROUP ID AFTER ANYONE SPECIAL</v>
      </c>
      <c r="B14" t="s">
        <v>9</v>
      </c>
      <c r="V14">
        <f>IF(    ISNUMBER(SEARCH("10 30",'power-on'!B13,1))  +  ISNUMBER(SEARCH("10 31",'power-on'!B13,1))  +  ISNUMBER(SEARCH("70 30",'power-on'!B13,1))  +  ISNUMBER(SEARCH("70 31",'power-on'!B13,1))  +  ISNUMBER(SEARCH("77 30",'power-on'!B13,1))  +  ISNUMBER(SEARCH("77 31",'power-on'!B13,1)),1,0)</f>
        <v>0</v>
      </c>
    </row>
    <row r="15" spans="1:22" x14ac:dyDescent="0.25">
      <c r="A15" t="str">
        <f t="shared" si="0"/>
        <v>87 POWER ON?</v>
      </c>
      <c r="B15" t="s">
        <v>10</v>
      </c>
      <c r="V15">
        <f>IF(    ISNUMBER(SEARCH("10 30",'power-on'!B14,1))  +  ISNUMBER(SEARCH("10 31",'power-on'!B14,1))  +  ISNUMBER(SEARCH("70 30",'power-on'!B14,1))  +  ISNUMBER(SEARCH("70 31",'power-on'!B14,1))  +  ISNUMBER(SEARCH("77 30",'power-on'!B14,1))  +  ISNUMBER(SEARCH("77 31",'power-on'!B14,1)),1,0)</f>
        <v>0</v>
      </c>
    </row>
    <row r="16" spans="1:22" x14ac:dyDescent="0.25">
      <c r="A16" t="str">
        <f t="shared" si="0"/>
        <v>F0 SWITCH SOURCE</v>
      </c>
      <c r="B16" t="s">
        <v>11</v>
      </c>
      <c r="V16">
        <f>IF(    ISNUMBER(SEARCH("10 30",'power-on'!B15,1))  +  ISNUMBER(SEARCH("10 31",'power-on'!B15,1))  +  ISNUMBER(SEARCH("70 30",'power-on'!B15,1))  +  ISNUMBER(SEARCH("70 31",'power-on'!B15,1))  +  ISNUMBER(SEARCH("77 30",'power-on'!B15,1))  +  ISNUMBER(SEARCH("77 31",'power-on'!B15,1)),1,0)</f>
        <v>0</v>
      </c>
    </row>
    <row r="17" spans="1:22" x14ac:dyDescent="0.25">
      <c r="A17" t="str">
        <f t="shared" si="0"/>
        <v>21 SWITCH TO - ???</v>
      </c>
      <c r="B17" t="s">
        <v>12</v>
      </c>
      <c r="V17">
        <f>IF(    ISNUMBER(SEARCH("10 30",'power-on'!B16,1))  +  ISNUMBER(SEARCH("10 31",'power-on'!B16,1))  +  ISNUMBER(SEARCH("70 30",'power-on'!B16,1))  +  ISNUMBER(SEARCH("70 31",'power-on'!B16,1))  +  ISNUMBER(SEARCH("77 30",'power-on'!B16,1))  +  ISNUMBER(SEARCH("77 31",'power-on'!B16,1)),1,0)</f>
        <v>0</v>
      </c>
    </row>
    <row r="18" spans="1:22" x14ac:dyDescent="0.25">
      <c r="A18" t="str">
        <f t="shared" si="0"/>
        <v>20 PLAY (FROM MASTER)</v>
      </c>
      <c r="B18" t="s">
        <v>13</v>
      </c>
      <c r="V18">
        <f>IF(    ISNUMBER(SEARCH("10 30",'power-on'!B17,1))  +  ISNUMBER(SEARCH("10 31",'power-on'!B17,1))  +  ISNUMBER(SEARCH("70 30",'power-on'!B17,1))  +  ISNUMBER(SEARCH("70 31",'power-on'!B17,1))  +  ISNUMBER(SEARCH("77 30",'power-on'!B17,1))  +  ISNUMBER(SEARCH("77 31",'power-on'!B17,1)),1,0)</f>
        <v>0</v>
      </c>
    </row>
    <row r="19" spans="1:22" x14ac:dyDescent="0.25">
      <c r="A19" t="str">
        <f t="shared" si="0"/>
        <v>84 REQUEST MORE TEXT FIELDS - SEND MAGAZINE INFO</v>
      </c>
      <c r="B19" t="s">
        <v>14</v>
      </c>
      <c r="C19" s="1"/>
      <c r="D19" s="1"/>
      <c r="V19">
        <f>IF(    ISNUMBER(SEARCH("10 30",'power-on'!B18,1))  +  ISNUMBER(SEARCH("10 31",'power-on'!B18,1))  +  ISNUMBER(SEARCH("70 30",'power-on'!B18,1))  +  ISNUMBER(SEARCH("70 31",'power-on'!B18,1))  +  ISNUMBER(SEARCH("77 30",'power-on'!B18,1))  +  ISNUMBER(SEARCH("77 31",'power-on'!B18,1)),1,0)</f>
        <v>0</v>
      </c>
    </row>
    <row r="20" spans="1:22" x14ac:dyDescent="0.25">
      <c r="A20" t="str">
        <f t="shared" si="0"/>
        <v>01 MASTER REQUEST - TIME POLL</v>
      </c>
      <c r="B20" t="s">
        <v>15</v>
      </c>
      <c r="C20" s="1"/>
      <c r="D20" s="1"/>
      <c r="V20">
        <f>IF(    ISNUMBER(SEARCH("10 30",'power-on'!B19,1))  +  ISNUMBER(SEARCH("10 31",'power-on'!B19,1))  +  ISNUMBER(SEARCH("70 30",'power-on'!B19,1))  +  ISNUMBER(SEARCH("70 31",'power-on'!B19,1))  +  ISNUMBER(SEARCH("77 30",'power-on'!B19,1))  +  ISNUMBER(SEARCH("77 31",'power-on'!B19,1)),1,0)</f>
        <v>0</v>
      </c>
    </row>
    <row r="21" spans="1:22" x14ac:dyDescent="0.25">
      <c r="A21" t="str">
        <f t="shared" si="0"/>
        <v>00 STATUS - CHANGED CD</v>
      </c>
      <c r="B21" t="s">
        <v>16</v>
      </c>
      <c r="C21" s="1"/>
      <c r="D21" s="1"/>
      <c r="V21">
        <f>IF(    ISNUMBER(SEARCH("10 30",'power-on'!B20,1))  +  ISNUMBER(SEARCH("10 31",'power-on'!B20,1))  +  ISNUMBER(SEARCH("70 30",'power-on'!B20,1))  +  ISNUMBER(SEARCH("70 31",'power-on'!B20,1))  +  ISNUMBER(SEARCH("77 30",'power-on'!B20,1))  +  ISNUMBER(SEARCH("77 31",'power-on'!B20,1)),1,0)</f>
        <v>0</v>
      </c>
    </row>
    <row r="22" spans="1:22" x14ac:dyDescent="0.25">
      <c r="A22" t="str">
        <f t="shared" si="0"/>
        <v>84 REQUEST MORE TEXT FIELDS - SEND DISC INFO</v>
      </c>
      <c r="B22" t="s">
        <v>17</v>
      </c>
      <c r="C22" s="1"/>
      <c r="D22" s="1"/>
      <c r="V22">
        <f>IF(    ISNUMBER(SEARCH("10 30",'power-on'!B21,1))  +  ISNUMBER(SEARCH("10 31",'power-on'!B21,1))  +  ISNUMBER(SEARCH("70 30",'power-on'!B21,1))  +  ISNUMBER(SEARCH("70 31",'power-on'!B21,1))  +  ISNUMBER(SEARCH("77 30",'power-on'!B21,1))  +  ISNUMBER(SEARCH("77 31",'power-on'!B21,1)),1,0)</f>
        <v>1</v>
      </c>
    </row>
    <row r="23" spans="1:22" x14ac:dyDescent="0.25">
      <c r="A23" t="str">
        <f t="shared" si="0"/>
        <v>01 MASTER REQUEST - SLAVE POLL</v>
      </c>
      <c r="B23" t="s">
        <v>18</v>
      </c>
      <c r="C23" s="1"/>
      <c r="D23" s="1"/>
      <c r="V23">
        <f>IF(    ISNUMBER(SEARCH("10 30",'power-on'!B22,1))  +  ISNUMBER(SEARCH("10 31",'power-on'!B22,1))  +  ISNUMBER(SEARCH("70 30",'power-on'!B22,1))  +  ISNUMBER(SEARCH("70 31",'power-on'!B22,1))  +  ISNUMBER(SEARCH("77 30",'power-on'!B22,1))  +  ISNUMBER(SEARCH("77 31",'power-on'!B22,1)),1,0)</f>
        <v>0</v>
      </c>
    </row>
    <row r="24" spans="1:22" x14ac:dyDescent="0.25">
      <c r="A24" t="str">
        <f t="shared" si="0"/>
        <v>C0 SEEKING TO - (NO PARITY2???) XCARLINK BUG, ALFA 166 ICS DOESN'T ALLOW 13 BYTE RESPONSES!</v>
      </c>
      <c r="B24" t="s">
        <v>19</v>
      </c>
      <c r="C24" s="1"/>
      <c r="D24" s="1"/>
      <c r="V24">
        <f>IF(    ISNUMBER(SEARCH("10 30",'power-on'!B23,1))  +  ISNUMBER(SEARCH("10 31",'power-on'!B23,1))  +  ISNUMBER(SEARCH("70 30",'power-on'!B23,1))  +  ISNUMBER(SEARCH("70 31",'power-on'!B23,1))  +  ISNUMBER(SEARCH("77 30",'power-on'!B23,1))  +  ISNUMBER(SEARCH("77 31",'power-on'!B23,1)),1,0)</f>
        <v>0</v>
      </c>
    </row>
    <row r="25" spans="1:22" x14ac:dyDescent="0.25">
      <c r="A25" t="str">
        <f t="shared" si="0"/>
        <v>01 MASTER REQUEST - SLAVE POLL</v>
      </c>
      <c r="B25" t="s">
        <v>18</v>
      </c>
      <c r="V25">
        <f>IF(    ISNUMBER(SEARCH("10 30",'power-on'!B24,1))  +  ISNUMBER(SEARCH("10 31",'power-on'!B24,1))  +  ISNUMBER(SEARCH("70 30",'power-on'!B24,1))  +  ISNUMBER(SEARCH("70 31",'power-on'!B24,1))  +  ISNUMBER(SEARCH("77 30",'power-on'!B24,1))  +  ISNUMBER(SEARCH("77 31",'power-on'!B24,1)),1,0)</f>
        <v>1</v>
      </c>
    </row>
    <row r="26" spans="1:22" x14ac:dyDescent="0.25">
      <c r="A26" t="str">
        <f t="shared" si="0"/>
        <v>C0 SEEKING TO - (NO PARITY2???) XCARLINK BUG, ALFA 166 ICS DOESN'T ALLOW 13 BYTE RESPONSES!</v>
      </c>
      <c r="B26" t="s">
        <v>20</v>
      </c>
      <c r="V26">
        <f>IF(    ISNUMBER(SEARCH("10 30",'power-on'!B25,1))  +  ISNUMBER(SEARCH("10 31",'power-on'!B25,1))  +  ISNUMBER(SEARCH("70 30",'power-on'!B25,1))  +  ISNUMBER(SEARCH("70 31",'power-on'!B25,1))  +  ISNUMBER(SEARCH("77 30",'power-on'!B25,1))  +  ISNUMBER(SEARCH("77 31",'power-on'!B25,1)),1,0)</f>
        <v>0</v>
      </c>
    </row>
    <row r="27" spans="1:22" x14ac:dyDescent="0.25">
      <c r="A27" t="str">
        <f t="shared" si="0"/>
        <v>01 MASTER REQUEST - SLAVE POLL</v>
      </c>
      <c r="B27" t="s">
        <v>18</v>
      </c>
      <c r="V27">
        <f>IF(    ISNUMBER(SEARCH("10 30",'power-on'!B26,1))  +  ISNUMBER(SEARCH("10 31",'power-on'!B26,1))  +  ISNUMBER(SEARCH("70 30",'power-on'!B26,1))  +  ISNUMBER(SEARCH("70 31",'power-on'!B26,1))  +  ISNUMBER(SEARCH("77 30",'power-on'!B26,1))  +  ISNUMBER(SEARCH("77 31",'power-on'!B26,1)),1,0)</f>
        <v>1</v>
      </c>
    </row>
    <row r="28" spans="1:22" x14ac:dyDescent="0.25">
      <c r="A28" t="str">
        <f t="shared" si="0"/>
        <v>C0 SEEKING TO - (NO PARITY2???) XCARLINK BUG, ALFA 166 ICS DOESN'T ALLOW 13 BYTE RESPONSES!</v>
      </c>
      <c r="B28" t="s">
        <v>20</v>
      </c>
      <c r="V28">
        <f>IF(    ISNUMBER(SEARCH("10 30",'power-on'!B27,1))  +  ISNUMBER(SEARCH("10 31",'power-on'!B27,1))  +  ISNUMBER(SEARCH("70 30",'power-on'!B27,1))  +  ISNUMBER(SEARCH("70 31",'power-on'!B27,1))  +  ISNUMBER(SEARCH("77 30",'power-on'!B27,1))  +  ISNUMBER(SEARCH("77 31",'power-on'!B27,1)),1,0)</f>
        <v>0</v>
      </c>
    </row>
    <row r="29" spans="1:22" x14ac:dyDescent="0.25">
      <c r="A29" t="str">
        <f t="shared" si="0"/>
        <v>01 MASTER REQUEST - SLAVE POLL</v>
      </c>
      <c r="B29" t="s">
        <v>18</v>
      </c>
      <c r="V29">
        <f>IF(    ISNUMBER(SEARCH("10 30",'power-on'!B28,1))  +  ISNUMBER(SEARCH("10 31",'power-on'!B28,1))  +  ISNUMBER(SEARCH("70 30",'power-on'!B28,1))  +  ISNUMBER(SEARCH("70 31",'power-on'!B28,1))  +  ISNUMBER(SEARCH("77 30",'power-on'!B28,1))  +  ISNUMBER(SEARCH("77 31",'power-on'!B28,1)),1,0)</f>
        <v>1</v>
      </c>
    </row>
    <row r="30" spans="1:22" x14ac:dyDescent="0.25">
      <c r="A30" t="str">
        <f t="shared" si="0"/>
        <v>95 MAGAZINE INFO - CD1 YES, CD2 YES, CD3 NO, CD4 NO, CD5 NO, CD6 NO</v>
      </c>
      <c r="B30" t="s">
        <v>21</v>
      </c>
      <c r="V30">
        <f>IF(    ISNUMBER(SEARCH("10 30",'power-on'!B29,1))  +  ISNUMBER(SEARCH("10 31",'power-on'!B29,1))  +  ISNUMBER(SEARCH("70 30",'power-on'!B29,1))  +  ISNUMBER(SEARCH("70 31",'power-on'!B29,1))  +  ISNUMBER(SEARCH("77 30",'power-on'!B29,1))  +  ISNUMBER(SEARCH("77 31",'power-on'!B29,1)),1,0)</f>
        <v>0</v>
      </c>
    </row>
    <row r="31" spans="1:22" x14ac:dyDescent="0.25">
      <c r="A31" t="str">
        <f t="shared" si="0"/>
        <v>01 MASTER REQUEST - SLAVE POLL</v>
      </c>
      <c r="B31" t="s">
        <v>18</v>
      </c>
      <c r="V31">
        <f>IF(    ISNUMBER(SEARCH("10 30",'power-on'!B30,1))  +  ISNUMBER(SEARCH("10 31",'power-on'!B30,1))  +  ISNUMBER(SEARCH("70 30",'power-on'!B30,1))  +  ISNUMBER(SEARCH("70 31",'power-on'!B30,1))  +  ISNUMBER(SEARCH("77 30",'power-on'!B30,1))  +  ISNUMBER(SEARCH("77 31",'power-on'!B30,1)),1,0)</f>
        <v>1</v>
      </c>
    </row>
    <row r="32" spans="1:22" x14ac:dyDescent="0.25">
      <c r="A32" t="str">
        <f t="shared" si="0"/>
        <v>C0 SEEKING TO - (NO PARITY2???) XCARLINK BUG, ALFA 166 ICS DOESN'T ALLOW 13 BYTE RESPONSES!</v>
      </c>
      <c r="B32" t="s">
        <v>19</v>
      </c>
      <c r="V32">
        <f>IF(    ISNUMBER(SEARCH("10 30",'power-on'!B31,1))  +  ISNUMBER(SEARCH("10 31",'power-on'!B31,1))  +  ISNUMBER(SEARCH("70 30",'power-on'!B31,1))  +  ISNUMBER(SEARCH("70 31",'power-on'!B31,1))  +  ISNUMBER(SEARCH("77 30",'power-on'!B31,1))  +  ISNUMBER(SEARCH("77 31",'power-on'!B31,1)),1,0)</f>
        <v>0</v>
      </c>
    </row>
    <row r="33" spans="1:22" x14ac:dyDescent="0.25">
      <c r="A33" t="str">
        <f t="shared" si="0"/>
        <v>01 MASTER REQUEST - SLAVE POLL</v>
      </c>
      <c r="B33" t="s">
        <v>18</v>
      </c>
      <c r="V33">
        <f>IF(    ISNUMBER(SEARCH("10 30",'power-on'!B32,1))  +  ISNUMBER(SEARCH("10 31",'power-on'!B32,1))  +  ISNUMBER(SEARCH("70 30",'power-on'!B32,1))  +  ISNUMBER(SEARCH("70 31",'power-on'!B32,1))  +  ISNUMBER(SEARCH("77 30",'power-on'!B32,1))  +  ISNUMBER(SEARCH("77 31",'power-on'!B32,1)),1,0)</f>
        <v>1</v>
      </c>
    </row>
    <row r="34" spans="1:22" x14ac:dyDescent="0.25">
      <c r="A34" t="str">
        <f t="shared" si="0"/>
        <v>97 DISC INFO - TRACKS: 77, MINS: 88, SECS: 00, DISC: 1</v>
      </c>
      <c r="B34" t="s">
        <v>22</v>
      </c>
      <c r="V34">
        <f>IF(    ISNUMBER(SEARCH("10 30",'power-on'!B33,1))  +  ISNUMBER(SEARCH("10 31",'power-on'!B33,1))  +  ISNUMBER(SEARCH("70 30",'power-on'!B33,1))  +  ISNUMBER(SEARCH("70 31",'power-on'!B33,1))  +  ISNUMBER(SEARCH("77 30",'power-on'!B33,1))  +  ISNUMBER(SEARCH("77 31",'power-on'!B33,1)),1,0)</f>
        <v>0</v>
      </c>
    </row>
    <row r="35" spans="1:22" x14ac:dyDescent="0.25">
      <c r="A35" t="str">
        <f t="shared" si="0"/>
        <v>01 MASTER REQUEST - SLAVE POLL</v>
      </c>
      <c r="B35" t="s">
        <v>18</v>
      </c>
      <c r="V35">
        <f>IF(    ISNUMBER(SEARCH("10 30",'power-on'!B34,1))  +  ISNUMBER(SEARCH("10 31",'power-on'!B34,1))  +  ISNUMBER(SEARCH("70 30",'power-on'!B34,1))  +  ISNUMBER(SEARCH("70 31",'power-on'!B34,1))  +  ISNUMBER(SEARCH("77 30",'power-on'!B34,1))  +  ISNUMBER(SEARCH("77 31",'power-on'!B34,1)),1,0)</f>
        <v>1</v>
      </c>
    </row>
    <row r="36" spans="1:22" x14ac:dyDescent="0.25">
      <c r="A36" t="str">
        <f t="shared" si="0"/>
        <v>D5 DISC IDENTIFIER</v>
      </c>
      <c r="B36" t="s">
        <v>23</v>
      </c>
      <c r="V36">
        <f>IF(    ISNUMBER(SEARCH("10 30",'power-on'!B35,1))  +  ISNUMBER(SEARCH("10 31",'power-on'!B35,1))  +  ISNUMBER(SEARCH("70 30",'power-on'!B35,1))  +  ISNUMBER(SEARCH("70 31",'power-on'!B35,1))  +  ISNUMBER(SEARCH("77 30",'power-on'!B35,1))  +  ISNUMBER(SEARCH("77 31",'power-on'!B35,1)),1,0)</f>
        <v>0</v>
      </c>
    </row>
    <row r="37" spans="1:22" x14ac:dyDescent="0.25">
      <c r="A37" t="str">
        <f t="shared" si="0"/>
        <v>01 MASTER REQUEST - SLAVE POLL</v>
      </c>
      <c r="B37" t="s">
        <v>18</v>
      </c>
      <c r="V37">
        <f>IF(    ISNUMBER(SEARCH("10 30",'power-on'!B36,1))  +  ISNUMBER(SEARCH("10 31",'power-on'!B36,1))  +  ISNUMBER(SEARCH("70 30",'power-on'!B36,1))  +  ISNUMBER(SEARCH("70 31",'power-on'!B36,1))  +  ISNUMBER(SEARCH("77 30",'power-on'!B36,1))  +  ISNUMBER(SEARCH("77 31",'power-on'!B36,1)),1,0)</f>
        <v>1</v>
      </c>
    </row>
    <row r="38" spans="1:22" x14ac:dyDescent="0.25">
      <c r="A38" t="str">
        <f t="shared" si="0"/>
        <v>90 TIME- TRACK: 40, 01:33, DISC: 1</v>
      </c>
      <c r="B38" s="6" t="s">
        <v>24</v>
      </c>
      <c r="V38">
        <f>IF(    ISNUMBER(SEARCH("10 30",'power-on'!B37,1))  +  ISNUMBER(SEARCH("10 31",'power-on'!B37,1))  +  ISNUMBER(SEARCH("70 30",'power-on'!B37,1))  +  ISNUMBER(SEARCH("70 31",'power-on'!B37,1))  +  ISNUMBER(SEARCH("77 30",'power-on'!B37,1))  +  ISNUMBER(SEARCH("77 31",'power-on'!B37,1)),1,0)</f>
        <v>0</v>
      </c>
    </row>
    <row r="39" spans="1:22" x14ac:dyDescent="0.25">
      <c r="A39" t="str">
        <f t="shared" si="0"/>
        <v>01 MASTER REQUEST - SLAVE POLL</v>
      </c>
      <c r="B39" t="s">
        <v>18</v>
      </c>
      <c r="V39">
        <f>IF(    ISNUMBER(SEARCH("10 30",'power-on'!B38,1))  +  ISNUMBER(SEARCH("10 31",'power-on'!B38,1))  +  ISNUMBER(SEARCH("70 30",'power-on'!B38,1))  +  ISNUMBER(SEARCH("70 31",'power-on'!B38,1))  +  ISNUMBER(SEARCH("77 30",'power-on'!B38,1))  +  ISNUMBER(SEARCH("77 31",'power-on'!B38,1)),1,0)</f>
        <v>1</v>
      </c>
    </row>
    <row r="40" spans="1:22" x14ac:dyDescent="0.25">
      <c r="A40" t="str">
        <f t="shared" si="0"/>
        <v>00 STATUS - PLAYING</v>
      </c>
      <c r="B40" t="s">
        <v>25</v>
      </c>
      <c r="V40">
        <f>IF(    ISNUMBER(SEARCH("10 30",'power-on'!B39,1))  +  ISNUMBER(SEARCH("10 31",'power-on'!B39,1))  +  ISNUMBER(SEARCH("70 30",'power-on'!B39,1))  +  ISNUMBER(SEARCH("70 31",'power-on'!B39,1))  +  ISNUMBER(SEARCH("77 30",'power-on'!B39,1))  +  ISNUMBER(SEARCH("77 31",'power-on'!B39,1)),1,0)</f>
        <v>0</v>
      </c>
    </row>
    <row r="41" spans="1:22" x14ac:dyDescent="0.25">
      <c r="A41" t="str">
        <f t="shared" si="0"/>
        <v>01 MASTER REQUEST - SLAVE POLL</v>
      </c>
      <c r="B41" t="s">
        <v>18</v>
      </c>
      <c r="V41">
        <f>IF(    ISNUMBER(SEARCH("10 30",'power-on'!B40,1))  +  ISNUMBER(SEARCH("10 31",'power-on'!B40,1))  +  ISNUMBER(SEARCH("70 30",'power-on'!B40,1))  +  ISNUMBER(SEARCH("70 31",'power-on'!B40,1))  +  ISNUMBER(SEARCH("77 30",'power-on'!B40,1))  +  ISNUMBER(SEARCH("77 31",'power-on'!B40,1)),1,0)</f>
        <v>1</v>
      </c>
    </row>
    <row r="42" spans="1:22" x14ac:dyDescent="0.25">
      <c r="A42" t="str">
        <f t="shared" si="0"/>
        <v>90 TIME- TRACK: 40, 01:34, DISC: 1</v>
      </c>
      <c r="B42" t="s">
        <v>26</v>
      </c>
      <c r="V42">
        <f>IF(    ISNUMBER(SEARCH("10 30",'power-on'!B41,1))  +  ISNUMBER(SEARCH("10 31",'power-on'!B41,1))  +  ISNUMBER(SEARCH("70 30",'power-on'!B41,1))  +  ISNUMBER(SEARCH("70 31",'power-on'!B41,1))  +  ISNUMBER(SEARCH("77 30",'power-on'!B41,1))  +  ISNUMBER(SEARCH("77 31",'power-on'!B41,1)),1,0)</f>
        <v>0</v>
      </c>
    </row>
    <row r="43" spans="1:22" x14ac:dyDescent="0.25">
      <c r="A43" t="str">
        <f t="shared" si="0"/>
        <v>01 MASTER REQUEST - SLAVE POLL</v>
      </c>
      <c r="B43" t="s">
        <v>18</v>
      </c>
      <c r="V43">
        <f>IF(    ISNUMBER(SEARCH("10 30",'power-on'!B42,1))  +  ISNUMBER(SEARCH("10 31",'power-on'!B42,1))  +  ISNUMBER(SEARCH("70 30",'power-on'!B42,1))  +  ISNUMBER(SEARCH("70 31",'power-on'!B42,1))  +  ISNUMBER(SEARCH("77 30",'power-on'!B42,1))  +  ISNUMBER(SEARCH("77 31",'power-on'!B42,1)),1,0)</f>
        <v>1</v>
      </c>
    </row>
    <row r="44" spans="1:22" x14ac:dyDescent="0.25">
      <c r="A44" t="str">
        <f t="shared" si="0"/>
        <v>00 STATUS - PLAYING</v>
      </c>
      <c r="B44" t="s">
        <v>25</v>
      </c>
      <c r="V44">
        <f>IF(    ISNUMBER(SEARCH("10 30",'power-on'!B43,1))  +  ISNUMBER(SEARCH("10 31",'power-on'!B43,1))  +  ISNUMBER(SEARCH("70 30",'power-on'!B43,1))  +  ISNUMBER(SEARCH("70 31",'power-on'!B43,1))  +  ISNUMBER(SEARCH("77 30",'power-on'!B43,1))  +  ISNUMBER(SEARCH("77 31",'power-on'!B43,1)),1,0)</f>
        <v>0</v>
      </c>
    </row>
    <row r="45" spans="1:22" x14ac:dyDescent="0.25">
      <c r="A45" t="str">
        <f t="shared" si="0"/>
        <v>84 REQUEST MORE TEXT FIELDS - SEND MAGAZINE INFO</v>
      </c>
      <c r="B45" t="s">
        <v>14</v>
      </c>
      <c r="V45">
        <f>IF(    ISNUMBER(SEARCH("10 30",'power-on'!B44,1))  +  ISNUMBER(SEARCH("10 31",'power-on'!B44,1))  +  ISNUMBER(SEARCH("70 30",'power-on'!B44,1))  +  ISNUMBER(SEARCH("70 31",'power-on'!B44,1))  +  ISNUMBER(SEARCH("77 30",'power-on'!B44,1))  +  ISNUMBER(SEARCH("77 31",'power-on'!B44,1)),1,0)</f>
        <v>1</v>
      </c>
    </row>
    <row r="46" spans="1:22" x14ac:dyDescent="0.25">
      <c r="A46" t="str">
        <f t="shared" si="0"/>
        <v>01 MASTER REQUEST - TIME POLL</v>
      </c>
      <c r="B46" t="s">
        <v>15</v>
      </c>
      <c r="V46">
        <f>IF(    ISNUMBER(SEARCH("10 30",'power-on'!B45,1))  +  ISNUMBER(SEARCH("10 31",'power-on'!B45,1))  +  ISNUMBER(SEARCH("70 30",'power-on'!B45,1))  +  ISNUMBER(SEARCH("70 31",'power-on'!B45,1))  +  ISNUMBER(SEARCH("77 30",'power-on'!B45,1))  +  ISNUMBER(SEARCH("77 31",'power-on'!B45,1)),1,0)</f>
        <v>0</v>
      </c>
    </row>
    <row r="47" spans="1:22" x14ac:dyDescent="0.25">
      <c r="A47" t="str">
        <f t="shared" si="0"/>
        <v>00 STATUS - PLAYING</v>
      </c>
      <c r="B47" s="2" t="s">
        <v>25</v>
      </c>
      <c r="V47">
        <f>IF(    ISNUMBER(SEARCH("10 30",'power-on'!B46,1))  +  ISNUMBER(SEARCH("10 31",'power-on'!B46,1))  +  ISNUMBER(SEARCH("70 30",'power-on'!B46,1))  +  ISNUMBER(SEARCH("70 31",'power-on'!B46,1))  +  ISNUMBER(SEARCH("77 30",'power-on'!B46,1))  +  ISNUMBER(SEARCH("77 31",'power-on'!B46,1)),1,0)</f>
        <v>0</v>
      </c>
    </row>
    <row r="48" spans="1:22" x14ac:dyDescent="0.25">
      <c r="A48" t="str">
        <f t="shared" si="0"/>
        <v>84 REQUEST MORE TEXT FIELDS - SEND DISC INFO</v>
      </c>
      <c r="B48" t="s">
        <v>17</v>
      </c>
      <c r="V48">
        <f>IF(    ISNUMBER(SEARCH("10 30",'power-on'!B47,1))  +  ISNUMBER(SEARCH("10 31",'power-on'!B47,1))  +  ISNUMBER(SEARCH("70 30",'power-on'!B47,1))  +  ISNUMBER(SEARCH("70 31",'power-on'!B47,1))  +  ISNUMBER(SEARCH("77 30",'power-on'!B47,1))  +  ISNUMBER(SEARCH("77 31",'power-on'!B47,1)),1,0)</f>
        <v>1</v>
      </c>
    </row>
    <row r="49" spans="1:22" x14ac:dyDescent="0.25">
      <c r="A49" t="str">
        <f t="shared" si="0"/>
        <v>01 MASTER REQUEST - SLAVE POLL</v>
      </c>
      <c r="B49" s="4" t="s">
        <v>27</v>
      </c>
      <c r="D49" s="1"/>
      <c r="V49">
        <f>IF(    ISNUMBER(SEARCH("10 30",'power-on'!B48,1))  +  ISNUMBER(SEARCH("10 31",'power-on'!B48,1))  +  ISNUMBER(SEARCH("70 30",'power-on'!B48,1))  +  ISNUMBER(SEARCH("70 31",'power-on'!B48,1))  +  ISNUMBER(SEARCH("77 30",'power-on'!B48,1))  +  ISNUMBER(SEARCH("77 31",'power-on'!B48,1)),1,0)</f>
        <v>0</v>
      </c>
    </row>
    <row r="50" spans="1:22" x14ac:dyDescent="0.25">
      <c r="A50" t="str">
        <f t="shared" si="0"/>
        <v>95 MAGAZINE INFO - CD1 YES, CD2 YES, CD3 NO, CD4 NO, CD5 NO, CD6 NO</v>
      </c>
      <c r="B50" t="s">
        <v>21</v>
      </c>
      <c r="V50">
        <f>IF(    ISNUMBER(SEARCH("10 30",'power-on'!B49,1))  +  ISNUMBER(SEARCH("10 31",'power-on'!B49,1))  +  ISNUMBER(SEARCH("70 30",'power-on'!B49,1))  +  ISNUMBER(SEARCH("70 31",'power-on'!B49,1))  +  ISNUMBER(SEARCH("77 30",'power-on'!B49,1))  +  ISNUMBER(SEARCH("77 31",'power-on'!B49,1)),1,0)</f>
        <v>1</v>
      </c>
    </row>
    <row r="51" spans="1:22" x14ac:dyDescent="0.25">
      <c r="A51" t="str">
        <f t="shared" si="0"/>
        <v>01 MASTER REQUEST - SLAVE POLL</v>
      </c>
      <c r="B51" t="s">
        <v>18</v>
      </c>
      <c r="V51">
        <f>IF(    ISNUMBER(SEARCH("10 30",'power-on'!B51,1))  +  ISNUMBER(SEARCH("10 31",'power-on'!B51,1))  +  ISNUMBER(SEARCH("70 30",'power-on'!B51,1))  +  ISNUMBER(SEARCH("70 31",'power-on'!B51,1))  +  ISNUMBER(SEARCH("77 30",'power-on'!B51,1))  +  ISNUMBER(SEARCH("77 31",'power-on'!B51,1)),1,0)</f>
        <v>0</v>
      </c>
    </row>
    <row r="52" spans="1:22" x14ac:dyDescent="0.25">
      <c r="A52" t="str">
        <f t="shared" si="0"/>
        <v>97 DISC INFO - TRACKS: 77, MINS: 88, SECS: 00, DISC: 1</v>
      </c>
      <c r="B52" t="s">
        <v>22</v>
      </c>
      <c r="V52">
        <f>IF(    ISNUMBER(SEARCH("10 30",'power-on'!B52,1))  +  ISNUMBER(SEARCH("10 31",'power-on'!B52,1))  +  ISNUMBER(SEARCH("70 30",'power-on'!B52,1))  +  ISNUMBER(SEARCH("70 31",'power-on'!B52,1))  +  ISNUMBER(SEARCH("77 30",'power-on'!B52,1))  +  ISNUMBER(SEARCH("77 31",'power-on'!B52,1)),1,0)</f>
        <v>1</v>
      </c>
    </row>
    <row r="53" spans="1:22" x14ac:dyDescent="0.25">
      <c r="A53" t="str">
        <f t="shared" si="0"/>
        <v>01 MASTER REQUEST - SLAVE POLL</v>
      </c>
      <c r="B53" t="s">
        <v>18</v>
      </c>
      <c r="V53">
        <f>IF(    ISNUMBER(SEARCH("10 30",'power-on'!B53,1))  +  ISNUMBER(SEARCH("10 31",'power-on'!B53,1))  +  ISNUMBER(SEARCH("70 30",'power-on'!B53,1))  +  ISNUMBER(SEARCH("70 31",'power-on'!B53,1))  +  ISNUMBER(SEARCH("77 30",'power-on'!B53,1))  +  ISNUMBER(SEARCH("77 31",'power-on'!B53,1)),1,0)</f>
        <v>0</v>
      </c>
    </row>
    <row r="54" spans="1:22" x14ac:dyDescent="0.25">
      <c r="A54" t="str">
        <f t="shared" si="0"/>
        <v>90 TIME- TRACK: 40, 01:35, DISC: 1</v>
      </c>
      <c r="B54" t="s">
        <v>28</v>
      </c>
      <c r="V54">
        <f>IF(    ISNUMBER(SEARCH("10 30",'power-on'!B54,1))  +  ISNUMBER(SEARCH("10 31",'power-on'!B54,1))  +  ISNUMBER(SEARCH("70 30",'power-on'!B54,1))  +  ISNUMBER(SEARCH("70 31",'power-on'!B54,1))  +  ISNUMBER(SEARCH("77 30",'power-on'!B54,1))  +  ISNUMBER(SEARCH("77 31",'power-on'!B54,1)),1,0)</f>
        <v>1</v>
      </c>
    </row>
    <row r="55" spans="1:22" x14ac:dyDescent="0.25">
      <c r="A55" t="str">
        <f t="shared" si="0"/>
        <v>84 REQUEST MORE TEXT FIELDS - SEND MAGAZINE INFO</v>
      </c>
      <c r="B55" t="s">
        <v>14</v>
      </c>
      <c r="V55">
        <f>IF(    ISNUMBER(SEARCH("10 30",'power-on'!B55,1))  +  ISNUMBER(SEARCH("10 31",'power-on'!B55,1))  +  ISNUMBER(SEARCH("70 30",'power-on'!B55,1))  +  ISNUMBER(SEARCH("70 31",'power-on'!B55,1))  +  ISNUMBER(SEARCH("77 30",'power-on'!B55,1))  +  ISNUMBER(SEARCH("77 31",'power-on'!B55,1)),1,0)</f>
        <v>0</v>
      </c>
    </row>
    <row r="56" spans="1:22" x14ac:dyDescent="0.25">
      <c r="A56" t="str">
        <f t="shared" si="0"/>
        <v>01 MASTER REQUEST - TIME POLL</v>
      </c>
      <c r="B56" t="s">
        <v>15</v>
      </c>
      <c r="V56">
        <f>IF(    ISNUMBER(SEARCH("10 30",'power-on'!B56,1))  +  ISNUMBER(SEARCH("10 31",'power-on'!B56,1))  +  ISNUMBER(SEARCH("70 30",'power-on'!B56,1))  +  ISNUMBER(SEARCH("70 31",'power-on'!B56,1))  +  ISNUMBER(SEARCH("77 30",'power-on'!B56,1))  +  ISNUMBER(SEARCH("77 31",'power-on'!B56,1)),1,0)</f>
        <v>0</v>
      </c>
    </row>
    <row r="57" spans="1:22" x14ac:dyDescent="0.25">
      <c r="A57" t="str">
        <f t="shared" si="0"/>
        <v>00 STATUS - PLAYING</v>
      </c>
      <c r="B57" t="s">
        <v>25</v>
      </c>
      <c r="V57">
        <f>IF(    ISNUMBER(SEARCH("10 30",'power-on'!B57,1))  +  ISNUMBER(SEARCH("10 31",'power-on'!B57,1))  +  ISNUMBER(SEARCH("70 30",'power-on'!B57,1))  +  ISNUMBER(SEARCH("70 31",'power-on'!B57,1))  +  ISNUMBER(SEARCH("77 30",'power-on'!B57,1))  +  ISNUMBER(SEARCH("77 31",'power-on'!B57,1)),1,0)</f>
        <v>1</v>
      </c>
    </row>
    <row r="58" spans="1:22" x14ac:dyDescent="0.25">
      <c r="A58" t="str">
        <f t="shared" si="0"/>
        <v>01 MASTER REQUEST - SLAVE POLL</v>
      </c>
      <c r="B58" t="s">
        <v>18</v>
      </c>
      <c r="V58">
        <f>IF(    ISNUMBER(SEARCH("10 30",'power-on'!B58,1))  +  ISNUMBER(SEARCH("10 31",'power-on'!B58,1))  +  ISNUMBER(SEARCH("70 30",'power-on'!B58,1))  +  ISNUMBER(SEARCH("70 31",'power-on'!B58,1))  +  ISNUMBER(SEARCH("77 30",'power-on'!B58,1))  +  ISNUMBER(SEARCH("77 31",'power-on'!B58,1)),1,0)</f>
        <v>0</v>
      </c>
    </row>
    <row r="59" spans="1:22" x14ac:dyDescent="0.25">
      <c r="A59" t="str">
        <f t="shared" si="0"/>
        <v>95 MAGAZINE INFO - CD1 YES, CD2 YES, CD3 NO, CD4 NO, CD5 NO, CD6 NO</v>
      </c>
      <c r="B59" t="s">
        <v>21</v>
      </c>
      <c r="V59">
        <f>IF(    ISNUMBER(SEARCH("10 30",'power-on'!B59,1))  +  ISNUMBER(SEARCH("10 31",'power-on'!B59,1))  +  ISNUMBER(SEARCH("70 30",'power-on'!B59,1))  +  ISNUMBER(SEARCH("70 31",'power-on'!B59,1))  +  ISNUMBER(SEARCH("77 30",'power-on'!B59,1))  +  ISNUMBER(SEARCH("77 31",'power-on'!B59,1)),1,0)</f>
        <v>1</v>
      </c>
    </row>
    <row r="60" spans="1:22" x14ac:dyDescent="0.25">
      <c r="A60" t="str">
        <f t="shared" si="0"/>
        <v>84 REQUEST MORE TEXT FIELDS - SEND DISC INFO</v>
      </c>
      <c r="B60" t="s">
        <v>17</v>
      </c>
      <c r="V60">
        <f>IF(    ISNUMBER(SEARCH("10 30",'power-on'!B60,1))  +  ISNUMBER(SEARCH("10 31",'power-on'!B60,1))  +  ISNUMBER(SEARCH("70 30",'power-on'!B60,1))  +  ISNUMBER(SEARCH("70 31",'power-on'!B60,1))  +  ISNUMBER(SEARCH("77 30",'power-on'!B60,1))  +  ISNUMBER(SEARCH("77 31",'power-on'!B60,1)),1,0)</f>
        <v>0</v>
      </c>
    </row>
    <row r="61" spans="1:22" x14ac:dyDescent="0.25">
      <c r="A61" t="str">
        <f t="shared" si="0"/>
        <v>01 MASTER REQUEST - SLAVE POLL</v>
      </c>
      <c r="B61" t="s">
        <v>18</v>
      </c>
      <c r="V61">
        <f>IF(    ISNUMBER(SEARCH("10 30",'power-on'!B61,1))  +  ISNUMBER(SEARCH("10 31",'power-on'!B61,1))  +  ISNUMBER(SEARCH("70 30",'power-on'!B61,1))  +  ISNUMBER(SEARCH("70 31",'power-on'!B61,1))  +  ISNUMBER(SEARCH("77 30",'power-on'!B61,1))  +  ISNUMBER(SEARCH("77 31",'power-on'!B61,1)),1,0)</f>
        <v>0</v>
      </c>
    </row>
    <row r="62" spans="1:22" x14ac:dyDescent="0.25">
      <c r="A62" t="str">
        <f t="shared" si="0"/>
        <v>90 TIME- TRACK: 40, 01:36, DISC: 1</v>
      </c>
      <c r="B62" t="s">
        <v>29</v>
      </c>
      <c r="V62">
        <f>IF(    ISNUMBER(SEARCH("10 30",'power-on'!B62,1))  +  ISNUMBER(SEARCH("10 31",'power-on'!B62,1))  +  ISNUMBER(SEARCH("70 30",'power-on'!B62,1))  +  ISNUMBER(SEARCH("70 31",'power-on'!B62,1))  +  ISNUMBER(SEARCH("77 30",'power-on'!B62,1))  +  ISNUMBER(SEARCH("77 31",'power-on'!B62,1)),1,0)</f>
        <v>1</v>
      </c>
    </row>
    <row r="63" spans="1:22" x14ac:dyDescent="0.25">
      <c r="A63" t="str">
        <f t="shared" si="0"/>
        <v>01 MASTER REQUEST - SLAVE POLL</v>
      </c>
      <c r="B63" t="s">
        <v>18</v>
      </c>
      <c r="V63">
        <f>IF(    ISNUMBER(SEARCH("10 30",'power-on'!B63,1))  +  ISNUMBER(SEARCH("10 31",'power-on'!B63,1))  +  ISNUMBER(SEARCH("70 30",'power-on'!B63,1))  +  ISNUMBER(SEARCH("70 31",'power-on'!B63,1))  +  ISNUMBER(SEARCH("77 30",'power-on'!B63,1))  +  ISNUMBER(SEARCH("77 31",'power-on'!B63,1)),1,0)</f>
        <v>0</v>
      </c>
    </row>
    <row r="64" spans="1:22" x14ac:dyDescent="0.25">
      <c r="A64" t="str">
        <f t="shared" si="0"/>
        <v>97 DISC INFO - TRACKS: 77, MINS: 88, SECS: 00, DISC: 1</v>
      </c>
      <c r="B64" t="s">
        <v>22</v>
      </c>
      <c r="V64">
        <f>IF(    ISNUMBER(SEARCH("10 30",'power-on'!B64,1))  +  ISNUMBER(SEARCH("10 31",'power-on'!B64,1))  +  ISNUMBER(SEARCH("70 30",'power-on'!B64,1))  +  ISNUMBER(SEARCH("70 31",'power-on'!B64,1))  +  ISNUMBER(SEARCH("77 30",'power-on'!B64,1))  +  ISNUMBER(SEARCH("77 31",'power-on'!B64,1)),1,0)</f>
        <v>1</v>
      </c>
    </row>
    <row r="65" spans="1:22" x14ac:dyDescent="0.25">
      <c r="A65" t="str">
        <f t="shared" si="0"/>
        <v>01 MASTER REQUEST - SLAVE POLL</v>
      </c>
      <c r="B65" t="s">
        <v>18</v>
      </c>
      <c r="V65">
        <f>IF(    ISNUMBER(SEARCH("10 30",'power-on'!B65,1))  +  ISNUMBER(SEARCH("10 31",'power-on'!B65,1))  +  ISNUMBER(SEARCH("70 30",'power-on'!B65,1))  +  ISNUMBER(SEARCH("70 31",'power-on'!B65,1))  +  ISNUMBER(SEARCH("77 30",'power-on'!B65,1))  +  ISNUMBER(SEARCH("77 31",'power-on'!B65,1)),1,0)</f>
        <v>0</v>
      </c>
    </row>
    <row r="66" spans="1:22" x14ac:dyDescent="0.25">
      <c r="A66" t="str">
        <f t="shared" si="0"/>
        <v>90 TIME- TRACK: 40, 01:37, DISC: 1</v>
      </c>
      <c r="B66" t="s">
        <v>30</v>
      </c>
      <c r="V66">
        <f>IF(    ISNUMBER(SEARCH("10 30",'power-on'!B66,1))  +  ISNUMBER(SEARCH("10 31",'power-on'!B66,1))  +  ISNUMBER(SEARCH("70 30",'power-on'!B66,1))  +  ISNUMBER(SEARCH("70 31",'power-on'!B66,1))  +  ISNUMBER(SEARCH("77 30",'power-on'!B66,1))  +  ISNUMBER(SEARCH("77 31",'power-on'!B66,1)),1,0)</f>
        <v>1</v>
      </c>
    </row>
    <row r="67" spans="1:22" x14ac:dyDescent="0.25">
      <c r="A67" t="str">
        <f t="shared" ref="A67:A130" si="1">ParseUnilink(B67)</f>
        <v>01 MASTER REQUEST - SLAVE POLL</v>
      </c>
      <c r="B67" t="s">
        <v>18</v>
      </c>
      <c r="V67">
        <f>IF(    ISNUMBER(SEARCH("10 30",'power-on'!B67,1))  +  ISNUMBER(SEARCH("10 31",'power-on'!B67,1))  +  ISNUMBER(SEARCH("70 30",'power-on'!B67,1))  +  ISNUMBER(SEARCH("70 31",'power-on'!B67,1))  +  ISNUMBER(SEARCH("77 30",'power-on'!B67,1))  +  ISNUMBER(SEARCH("77 31",'power-on'!B67,1)),1,0)</f>
        <v>0</v>
      </c>
    </row>
    <row r="68" spans="1:22" x14ac:dyDescent="0.25">
      <c r="A68" t="str">
        <f t="shared" si="1"/>
        <v>00 STATUS - PLAYING</v>
      </c>
      <c r="B68" t="s">
        <v>25</v>
      </c>
      <c r="V68">
        <f>IF(    ISNUMBER(SEARCH("10 30",'power-on'!B68,1))  +  ISNUMBER(SEARCH("10 31",'power-on'!B68,1))  +  ISNUMBER(SEARCH("70 30",'power-on'!B68,1))  +  ISNUMBER(SEARCH("70 31",'power-on'!B68,1))  +  ISNUMBER(SEARCH("77 30",'power-on'!B68,1))  +  ISNUMBER(SEARCH("77 31",'power-on'!B68,1)),1,0)</f>
        <v>1</v>
      </c>
    </row>
    <row r="69" spans="1:22" x14ac:dyDescent="0.25">
      <c r="A69" t="str">
        <f t="shared" si="1"/>
        <v>84 REQUEST MORE TEXT FIELDS - SEND MAGAZINE INFO</v>
      </c>
      <c r="B69" s="3" t="s">
        <v>14</v>
      </c>
      <c r="V69">
        <f>IF(    ISNUMBER(SEARCH("10 30",'power-on'!B69,1))  +  ISNUMBER(SEARCH("10 31",'power-on'!B69,1))  +  ISNUMBER(SEARCH("70 30",'power-on'!B69,1))  +  ISNUMBER(SEARCH("70 31",'power-on'!B69,1))  +  ISNUMBER(SEARCH("77 30",'power-on'!B69,1))  +  ISNUMBER(SEARCH("77 31",'power-on'!B69,1)),1,0)</f>
        <v>0</v>
      </c>
    </row>
    <row r="70" spans="1:22" x14ac:dyDescent="0.25">
      <c r="A70" t="str">
        <f t="shared" si="1"/>
        <v>01 MASTER REQUEST - TIME POLL</v>
      </c>
      <c r="B70" t="s">
        <v>15</v>
      </c>
      <c r="V70">
        <f>IF(    ISNUMBER(SEARCH("10 30",'power-on'!B70,1))  +  ISNUMBER(SEARCH("10 31",'power-on'!B70,1))  +  ISNUMBER(SEARCH("70 30",'power-on'!B70,1))  +  ISNUMBER(SEARCH("70 31",'power-on'!B70,1))  +  ISNUMBER(SEARCH("77 30",'power-on'!B70,1))  +  ISNUMBER(SEARCH("77 31",'power-on'!B70,1)),1,0)</f>
        <v>0</v>
      </c>
    </row>
    <row r="71" spans="1:22" x14ac:dyDescent="0.25">
      <c r="A71" t="str">
        <f t="shared" si="1"/>
        <v>00 STATUS - PLAYING</v>
      </c>
      <c r="B71" t="s">
        <v>25</v>
      </c>
      <c r="V71">
        <f>IF(    ISNUMBER(SEARCH("10 30",'power-on'!B71,1))  +  ISNUMBER(SEARCH("10 31",'power-on'!B71,1))  +  ISNUMBER(SEARCH("70 30",'power-on'!B71,1))  +  ISNUMBER(SEARCH("70 31",'power-on'!B71,1))  +  ISNUMBER(SEARCH("77 30",'power-on'!B71,1))  +  ISNUMBER(SEARCH("77 31",'power-on'!B71,1)),1,0)</f>
        <v>1</v>
      </c>
    </row>
    <row r="72" spans="1:22" x14ac:dyDescent="0.25">
      <c r="A72" t="str">
        <f t="shared" si="1"/>
        <v>84 REQUEST MORE TEXT FIELDS - SEND DISC INFO</v>
      </c>
      <c r="B72" t="s">
        <v>17</v>
      </c>
      <c r="V72">
        <f>IF(    ISNUMBER(SEARCH("10 30",'power-on'!B72,1))  +  ISNUMBER(SEARCH("10 31",'power-on'!B72,1))  +  ISNUMBER(SEARCH("70 30",'power-on'!B72,1))  +  ISNUMBER(SEARCH("70 31",'power-on'!B72,1))  +  ISNUMBER(SEARCH("77 30",'power-on'!B72,1))  +  ISNUMBER(SEARCH("77 31",'power-on'!B72,1)),1,0)</f>
        <v>0</v>
      </c>
    </row>
    <row r="73" spans="1:22" x14ac:dyDescent="0.25">
      <c r="A73" t="str">
        <f t="shared" si="1"/>
        <v>01 MASTER REQUEST - SLAVE POLL</v>
      </c>
      <c r="B73" t="s">
        <v>18</v>
      </c>
      <c r="V73">
        <f>IF(    ISNUMBER(SEARCH("10 30",'power-on'!B73,1))  +  ISNUMBER(SEARCH("10 31",'power-on'!B73,1))  +  ISNUMBER(SEARCH("70 30",'power-on'!B73,1))  +  ISNUMBER(SEARCH("70 31",'power-on'!B73,1))  +  ISNUMBER(SEARCH("77 30",'power-on'!B73,1))  +  ISNUMBER(SEARCH("77 31",'power-on'!B73,1)),1,0)</f>
        <v>0</v>
      </c>
    </row>
    <row r="74" spans="1:22" x14ac:dyDescent="0.25">
      <c r="A74" t="str">
        <f t="shared" si="1"/>
        <v>95 MAGAZINE INFO - CD1 YES, CD2 YES, CD3 NO, CD4 NO, CD5 NO, CD6 NO</v>
      </c>
      <c r="B74" t="s">
        <v>21</v>
      </c>
      <c r="V74">
        <f>IF(    ISNUMBER(SEARCH("10 30",'power-on'!B74,1))  +  ISNUMBER(SEARCH("10 31",'power-on'!B74,1))  +  ISNUMBER(SEARCH("70 30",'power-on'!B74,1))  +  ISNUMBER(SEARCH("70 31",'power-on'!B74,1))  +  ISNUMBER(SEARCH("77 30",'power-on'!B74,1))  +  ISNUMBER(SEARCH("77 31",'power-on'!B74,1)),1,0)</f>
        <v>1</v>
      </c>
    </row>
    <row r="75" spans="1:22" x14ac:dyDescent="0.25">
      <c r="A75" t="str">
        <f t="shared" si="1"/>
        <v>01 MASTER REQUEST - SLAVE POLL</v>
      </c>
      <c r="B75" t="s">
        <v>18</v>
      </c>
      <c r="V75">
        <f>IF(    ISNUMBER(SEARCH("10 30",'power-on'!B75,1))  +  ISNUMBER(SEARCH("10 31",'power-on'!B75,1))  +  ISNUMBER(SEARCH("70 30",'power-on'!B75,1))  +  ISNUMBER(SEARCH("70 31",'power-on'!B75,1))  +  ISNUMBER(SEARCH("77 30",'power-on'!B75,1))  +  ISNUMBER(SEARCH("77 31",'power-on'!B75,1)),1,0)</f>
        <v>0</v>
      </c>
    </row>
    <row r="76" spans="1:22" x14ac:dyDescent="0.25">
      <c r="A76" t="str">
        <f t="shared" si="1"/>
        <v>97 DISC INFO - TRACKS: 77, MINS: 88, SECS: 00, DISC: 1</v>
      </c>
      <c r="B76" t="s">
        <v>22</v>
      </c>
      <c r="V76">
        <f>IF(    ISNUMBER(SEARCH("10 30",'power-on'!B76,1))  +  ISNUMBER(SEARCH("10 31",'power-on'!B76,1))  +  ISNUMBER(SEARCH("70 30",'power-on'!B76,1))  +  ISNUMBER(SEARCH("70 31",'power-on'!B76,1))  +  ISNUMBER(SEARCH("77 30",'power-on'!B76,1))  +  ISNUMBER(SEARCH("77 31",'power-on'!B76,1)),1,0)</f>
        <v>1</v>
      </c>
    </row>
    <row r="77" spans="1:22" x14ac:dyDescent="0.25">
      <c r="A77" t="str">
        <f t="shared" si="1"/>
        <v>01 MASTER REQUEST - SLAVE POLL</v>
      </c>
      <c r="B77" t="s">
        <v>18</v>
      </c>
      <c r="V77">
        <f>IF(    ISNUMBER(SEARCH("10 30",'power-on'!B77,1))  +  ISNUMBER(SEARCH("10 31",'power-on'!B77,1))  +  ISNUMBER(SEARCH("70 30",'power-on'!B77,1))  +  ISNUMBER(SEARCH("70 31",'power-on'!B77,1))  +  ISNUMBER(SEARCH("77 30",'power-on'!B77,1))  +  ISNUMBER(SEARCH("77 31",'power-on'!B77,1)),1,0)</f>
        <v>0</v>
      </c>
    </row>
    <row r="78" spans="1:22" x14ac:dyDescent="0.25">
      <c r="A78" t="str">
        <f t="shared" si="1"/>
        <v>90 TIME- TRACK: 40, 01:38, DISC: 1</v>
      </c>
      <c r="B78" t="s">
        <v>31</v>
      </c>
      <c r="V78">
        <f>IF(    ISNUMBER(SEARCH("10 30",'power-on'!B78,1))  +  ISNUMBER(SEARCH("10 31",'power-on'!B78,1))  +  ISNUMBER(SEARCH("70 30",'power-on'!B78,1))  +  ISNUMBER(SEARCH("70 31",'power-on'!B78,1))  +  ISNUMBER(SEARCH("77 30",'power-on'!B78,1))  +  ISNUMBER(SEARCH("77 31",'power-on'!B78,1)),1,0)</f>
        <v>1</v>
      </c>
    </row>
    <row r="79" spans="1:22" x14ac:dyDescent="0.25">
      <c r="A79" t="str">
        <f t="shared" si="1"/>
        <v>01 MASTER REQUEST - SLAVE POLL</v>
      </c>
      <c r="B79" t="s">
        <v>18</v>
      </c>
      <c r="V79">
        <f>IF(    ISNUMBER(SEARCH("10 30",'power-on'!B79,1))  +  ISNUMBER(SEARCH("10 31",'power-on'!B79,1))  +  ISNUMBER(SEARCH("70 30",'power-on'!B79,1))  +  ISNUMBER(SEARCH("70 31",'power-on'!B79,1))  +  ISNUMBER(SEARCH("77 30",'power-on'!B79,1))  +  ISNUMBER(SEARCH("77 31",'power-on'!B79,1)),1,0)</f>
        <v>0</v>
      </c>
    </row>
    <row r="80" spans="1:22" x14ac:dyDescent="0.25">
      <c r="A80" t="str">
        <f t="shared" si="1"/>
        <v>00 STATUS - PLAYING</v>
      </c>
      <c r="B80" t="s">
        <v>25</v>
      </c>
      <c r="V80">
        <f>IF(    ISNUMBER(SEARCH("10 30",'power-on'!B80,1))  +  ISNUMBER(SEARCH("10 31",'power-on'!B80,1))  +  ISNUMBER(SEARCH("70 30",'power-on'!B80,1))  +  ISNUMBER(SEARCH("70 31",'power-on'!B80,1))  +  ISNUMBER(SEARCH("77 30",'power-on'!B80,1))  +  ISNUMBER(SEARCH("77 31",'power-on'!B80,1)),1,0)</f>
        <v>1</v>
      </c>
    </row>
    <row r="81" spans="1:22" x14ac:dyDescent="0.25">
      <c r="A81" t="str">
        <f t="shared" si="1"/>
        <v>84 REQUEST MORE TEXT FIELDS - SEND MAGAZINE INFO</v>
      </c>
      <c r="B81" t="s">
        <v>14</v>
      </c>
      <c r="V81">
        <f>IF(    ISNUMBER(SEARCH("10 30",'power-on'!B81,1))  +  ISNUMBER(SEARCH("10 31",'power-on'!B81,1))  +  ISNUMBER(SEARCH("70 30",'power-on'!B81,1))  +  ISNUMBER(SEARCH("70 31",'power-on'!B81,1))  +  ISNUMBER(SEARCH("77 30",'power-on'!B81,1))  +  ISNUMBER(SEARCH("77 31",'power-on'!B81,1)),1,0)</f>
        <v>0</v>
      </c>
    </row>
    <row r="82" spans="1:22" x14ac:dyDescent="0.25">
      <c r="A82" t="str">
        <f t="shared" si="1"/>
        <v>01 MASTER REQUEST - TIME POLL</v>
      </c>
      <c r="B82" t="s">
        <v>15</v>
      </c>
      <c r="V82">
        <f>IF(    ISNUMBER(SEARCH("10 30",'power-on'!B82,1))  +  ISNUMBER(SEARCH("10 31",'power-on'!B82,1))  +  ISNUMBER(SEARCH("70 30",'power-on'!B82,1))  +  ISNUMBER(SEARCH("70 31",'power-on'!B82,1))  +  ISNUMBER(SEARCH("77 30",'power-on'!B82,1))  +  ISNUMBER(SEARCH("77 31",'power-on'!B82,1)),1,0)</f>
        <v>0</v>
      </c>
    </row>
    <row r="83" spans="1:22" x14ac:dyDescent="0.25">
      <c r="A83" t="str">
        <f t="shared" si="1"/>
        <v>00 STATUS - PLAYING</v>
      </c>
      <c r="B83" t="s">
        <v>25</v>
      </c>
      <c r="V83">
        <f>IF(    ISNUMBER(SEARCH("10 30",'power-on'!B83,1))  +  ISNUMBER(SEARCH("10 31",'power-on'!B83,1))  +  ISNUMBER(SEARCH("70 30",'power-on'!B83,1))  +  ISNUMBER(SEARCH("70 31",'power-on'!B83,1))  +  ISNUMBER(SEARCH("77 30",'power-on'!B83,1))  +  ISNUMBER(SEARCH("77 31",'power-on'!B83,1)),1,0)</f>
        <v>1</v>
      </c>
    </row>
    <row r="84" spans="1:22" x14ac:dyDescent="0.25">
      <c r="A84" t="str">
        <f t="shared" si="1"/>
        <v>84 REQUEST MORE TEXT FIELDS - SEND DISC INFO</v>
      </c>
      <c r="B84" t="s">
        <v>17</v>
      </c>
      <c r="V84">
        <f>IF(    ISNUMBER(SEARCH("10 30",'power-on'!B84,1))  +  ISNUMBER(SEARCH("10 31",'power-on'!B84,1))  +  ISNUMBER(SEARCH("70 30",'power-on'!B84,1))  +  ISNUMBER(SEARCH("70 31",'power-on'!B84,1))  +  ISNUMBER(SEARCH("77 30",'power-on'!B84,1))  +  ISNUMBER(SEARCH("77 31",'power-on'!B84,1)),1,0)</f>
        <v>0</v>
      </c>
    </row>
    <row r="85" spans="1:22" x14ac:dyDescent="0.25">
      <c r="A85" t="str">
        <f t="shared" si="1"/>
        <v>01 MASTER REQUEST - SLAVE POLL</v>
      </c>
      <c r="B85" t="s">
        <v>18</v>
      </c>
      <c r="V85">
        <f>IF(    ISNUMBER(SEARCH("10 30",'power-on'!B85,1))  +  ISNUMBER(SEARCH("10 31",'power-on'!B85,1))  +  ISNUMBER(SEARCH("70 30",'power-on'!B85,1))  +  ISNUMBER(SEARCH("70 31",'power-on'!B85,1))  +  ISNUMBER(SEARCH("77 30",'power-on'!B85,1))  +  ISNUMBER(SEARCH("77 31",'power-on'!B85,1)),1,0)</f>
        <v>0</v>
      </c>
    </row>
    <row r="86" spans="1:22" x14ac:dyDescent="0.25">
      <c r="A86" t="str">
        <f t="shared" si="1"/>
        <v>95 MAGAZINE INFO - CD1 YES, CD2 YES, CD3 NO, CD4 NO, CD5 NO, CD6 NO</v>
      </c>
      <c r="B86" t="s">
        <v>21</v>
      </c>
      <c r="V86">
        <f>IF(    ISNUMBER(SEARCH("10 30",'power-on'!B86,1))  +  ISNUMBER(SEARCH("10 31",'power-on'!B86,1))  +  ISNUMBER(SEARCH("70 30",'power-on'!B86,1))  +  ISNUMBER(SEARCH("70 31",'power-on'!B86,1))  +  ISNUMBER(SEARCH("77 30",'power-on'!B86,1))  +  ISNUMBER(SEARCH("77 31",'power-on'!B86,1)),1,0)</f>
        <v>1</v>
      </c>
    </row>
    <row r="87" spans="1:22" x14ac:dyDescent="0.25">
      <c r="A87" t="str">
        <f t="shared" si="1"/>
        <v>01 MASTER REQUEST - SLAVE POLL</v>
      </c>
      <c r="B87" t="s">
        <v>18</v>
      </c>
      <c r="V87">
        <f>IF(    ISNUMBER(SEARCH("10 30",'power-on'!B87,1))  +  ISNUMBER(SEARCH("10 31",'power-on'!B87,1))  +  ISNUMBER(SEARCH("70 30",'power-on'!B87,1))  +  ISNUMBER(SEARCH("70 31",'power-on'!B87,1))  +  ISNUMBER(SEARCH("77 30",'power-on'!B87,1))  +  ISNUMBER(SEARCH("77 31",'power-on'!B87,1)),1,0)</f>
        <v>0</v>
      </c>
    </row>
    <row r="88" spans="1:22" x14ac:dyDescent="0.25">
      <c r="A88" t="str">
        <f t="shared" si="1"/>
        <v>97 DISC INFO - TRACKS: 77, MINS: 88, SECS: 00, DISC: 1</v>
      </c>
      <c r="B88" t="s">
        <v>22</v>
      </c>
      <c r="V88">
        <f>IF(    ISNUMBER(SEARCH("10 30",'power-on'!B88,1))  +  ISNUMBER(SEARCH("10 31",'power-on'!B88,1))  +  ISNUMBER(SEARCH("70 30",'power-on'!B88,1))  +  ISNUMBER(SEARCH("70 31",'power-on'!B88,1))  +  ISNUMBER(SEARCH("77 30",'power-on'!B88,1))  +  ISNUMBER(SEARCH("77 31",'power-on'!B88,1)),1,0)</f>
        <v>1</v>
      </c>
    </row>
    <row r="89" spans="1:22" x14ac:dyDescent="0.25">
      <c r="A89" t="str">
        <f t="shared" si="1"/>
        <v>01 MASTER REQUEST - SLAVE POLL</v>
      </c>
      <c r="B89" t="s">
        <v>18</v>
      </c>
      <c r="V89">
        <f>IF(    ISNUMBER(SEARCH("10 30",'power-on'!B89,1))  +  ISNUMBER(SEARCH("10 31",'power-on'!B89,1))  +  ISNUMBER(SEARCH("70 30",'power-on'!B89,1))  +  ISNUMBER(SEARCH("70 31",'power-on'!B89,1))  +  ISNUMBER(SEARCH("77 30",'power-on'!B89,1))  +  ISNUMBER(SEARCH("77 31",'power-on'!B89,1)),1,0)</f>
        <v>0</v>
      </c>
    </row>
    <row r="90" spans="1:22" x14ac:dyDescent="0.25">
      <c r="A90" t="str">
        <f t="shared" si="1"/>
        <v>90 TIME- TRACK: 40, 01:39, DISC: 1</v>
      </c>
      <c r="B90" t="s">
        <v>32</v>
      </c>
      <c r="V90">
        <f>IF(    ISNUMBER(SEARCH("10 30",'power-on'!B90,1))  +  ISNUMBER(SEARCH("10 31",'power-on'!B90,1))  +  ISNUMBER(SEARCH("70 30",'power-on'!B90,1))  +  ISNUMBER(SEARCH("70 31",'power-on'!B90,1))  +  ISNUMBER(SEARCH("77 30",'power-on'!B90,1))  +  ISNUMBER(SEARCH("77 31",'power-on'!B90,1)),1,0)</f>
        <v>1</v>
      </c>
    </row>
    <row r="91" spans="1:22" x14ac:dyDescent="0.25">
      <c r="A91" t="str">
        <f t="shared" si="1"/>
        <v>01 MASTER REQUEST - SLAVE POLL</v>
      </c>
      <c r="B91" t="s">
        <v>18</v>
      </c>
      <c r="V91">
        <f>IF(    ISNUMBER(SEARCH("10 30",'power-on'!B91,1))  +  ISNUMBER(SEARCH("10 31",'power-on'!B91,1))  +  ISNUMBER(SEARCH("70 30",'power-on'!B91,1))  +  ISNUMBER(SEARCH("70 31",'power-on'!B91,1))  +  ISNUMBER(SEARCH("77 30",'power-on'!B91,1))  +  ISNUMBER(SEARCH("77 31",'power-on'!B91,1)),1,0)</f>
        <v>0</v>
      </c>
    </row>
    <row r="92" spans="1:22" x14ac:dyDescent="0.25">
      <c r="A92" t="str">
        <f t="shared" si="1"/>
        <v>00 STATUS - PLAYING</v>
      </c>
      <c r="B92" t="s">
        <v>25</v>
      </c>
      <c r="V92">
        <f>IF(    ISNUMBER(SEARCH("10 30",'power-on'!B92,1))  +  ISNUMBER(SEARCH("10 31",'power-on'!B92,1))  +  ISNUMBER(SEARCH("70 30",'power-on'!B92,1))  +  ISNUMBER(SEARCH("70 31",'power-on'!B92,1))  +  ISNUMBER(SEARCH("77 30",'power-on'!B92,1))  +  ISNUMBER(SEARCH("77 31",'power-on'!B92,1)),1,0)</f>
        <v>1</v>
      </c>
    </row>
    <row r="93" spans="1:22" x14ac:dyDescent="0.25">
      <c r="A93" t="str">
        <f t="shared" si="1"/>
        <v>84 REQUEST MORE TEXT FIELDS - SEND MAGAZINE INFO</v>
      </c>
      <c r="B93" t="s">
        <v>14</v>
      </c>
      <c r="V93">
        <f>IF(    ISNUMBER(SEARCH("10 30",'power-on'!B93,1))  +  ISNUMBER(SEARCH("10 31",'power-on'!B93,1))  +  ISNUMBER(SEARCH("70 30",'power-on'!B93,1))  +  ISNUMBER(SEARCH("70 31",'power-on'!B93,1))  +  ISNUMBER(SEARCH("77 30",'power-on'!B93,1))  +  ISNUMBER(SEARCH("77 31",'power-on'!B93,1)),1,0)</f>
        <v>0</v>
      </c>
    </row>
    <row r="94" spans="1:22" x14ac:dyDescent="0.25">
      <c r="A94" t="str">
        <f t="shared" si="1"/>
        <v>01 MASTER REQUEST - TIME POLL</v>
      </c>
      <c r="B94" t="s">
        <v>15</v>
      </c>
      <c r="V94">
        <f>IF(    ISNUMBER(SEARCH("10 30",'power-on'!B94,1))  +  ISNUMBER(SEARCH("10 31",'power-on'!B94,1))  +  ISNUMBER(SEARCH("70 30",'power-on'!B94,1))  +  ISNUMBER(SEARCH("70 31",'power-on'!B94,1))  +  ISNUMBER(SEARCH("77 30",'power-on'!B94,1))  +  ISNUMBER(SEARCH("77 31",'power-on'!B94,1)),1,0)</f>
        <v>0</v>
      </c>
    </row>
    <row r="95" spans="1:22" x14ac:dyDescent="0.25">
      <c r="A95" t="str">
        <f t="shared" si="1"/>
        <v>00 STATUS - PLAYING</v>
      </c>
      <c r="B95" t="s">
        <v>25</v>
      </c>
      <c r="V95">
        <f>IF(    ISNUMBER(SEARCH("10 30",'power-on'!B95,1))  +  ISNUMBER(SEARCH("10 31",'power-on'!B95,1))  +  ISNUMBER(SEARCH("70 30",'power-on'!B95,1))  +  ISNUMBER(SEARCH("70 31",'power-on'!B95,1))  +  ISNUMBER(SEARCH("77 30",'power-on'!B95,1))  +  ISNUMBER(SEARCH("77 31",'power-on'!B95,1)),1,0)</f>
        <v>1</v>
      </c>
    </row>
    <row r="96" spans="1:22" x14ac:dyDescent="0.25">
      <c r="A96" t="str">
        <f t="shared" si="1"/>
        <v>84 REQUEST MORE TEXT FIELDS - SEND DISC INFO</v>
      </c>
      <c r="B96" t="s">
        <v>17</v>
      </c>
      <c r="V96">
        <f>IF(    ISNUMBER(SEARCH("10 30",'power-on'!B96,1))  +  ISNUMBER(SEARCH("10 31",'power-on'!B96,1))  +  ISNUMBER(SEARCH("70 30",'power-on'!B96,1))  +  ISNUMBER(SEARCH("70 31",'power-on'!B96,1))  +  ISNUMBER(SEARCH("77 30",'power-on'!B96,1))  +  ISNUMBER(SEARCH("77 31",'power-on'!B96,1)),1,0)</f>
        <v>0</v>
      </c>
    </row>
    <row r="97" spans="1:22" x14ac:dyDescent="0.25">
      <c r="A97" t="str">
        <f t="shared" si="1"/>
        <v>01 MASTER REQUEST - SLAVE POLL</v>
      </c>
      <c r="B97" t="s">
        <v>18</v>
      </c>
      <c r="V97">
        <f>IF(    ISNUMBER(SEARCH("10 30",'power-on'!B97,1))  +  ISNUMBER(SEARCH("10 31",'power-on'!B97,1))  +  ISNUMBER(SEARCH("70 30",'power-on'!B97,1))  +  ISNUMBER(SEARCH("70 31",'power-on'!B97,1))  +  ISNUMBER(SEARCH("77 30",'power-on'!B97,1))  +  ISNUMBER(SEARCH("77 31",'power-on'!B97,1)),1,0)</f>
        <v>0</v>
      </c>
    </row>
    <row r="98" spans="1:22" x14ac:dyDescent="0.25">
      <c r="A98" t="str">
        <f t="shared" si="1"/>
        <v>95 MAGAZINE INFO - CD1 YES, CD2 YES, CD3 NO, CD4 NO, CD5 NO, CD6 NO</v>
      </c>
      <c r="B98" t="s">
        <v>21</v>
      </c>
      <c r="V98">
        <f>IF(    ISNUMBER(SEARCH("10 30",'power-on'!B98,1))  +  ISNUMBER(SEARCH("10 31",'power-on'!B98,1))  +  ISNUMBER(SEARCH("70 30",'power-on'!B98,1))  +  ISNUMBER(SEARCH("70 31",'power-on'!B98,1))  +  ISNUMBER(SEARCH("77 30",'power-on'!B98,1))  +  ISNUMBER(SEARCH("77 31",'power-on'!B98,1)),1,0)</f>
        <v>1</v>
      </c>
    </row>
    <row r="99" spans="1:22" x14ac:dyDescent="0.25">
      <c r="A99" t="str">
        <f t="shared" si="1"/>
        <v>01 MASTER REQUEST - SLAVE POLL</v>
      </c>
      <c r="B99" t="s">
        <v>18</v>
      </c>
      <c r="V99">
        <f>IF(    ISNUMBER(SEARCH("10 30",'power-on'!B99,1))  +  ISNUMBER(SEARCH("10 31",'power-on'!B99,1))  +  ISNUMBER(SEARCH("70 30",'power-on'!B99,1))  +  ISNUMBER(SEARCH("70 31",'power-on'!B99,1))  +  ISNUMBER(SEARCH("77 30",'power-on'!B99,1))  +  ISNUMBER(SEARCH("77 31",'power-on'!B99,1)),1,0)</f>
        <v>0</v>
      </c>
    </row>
    <row r="100" spans="1:22" x14ac:dyDescent="0.25">
      <c r="A100" t="str">
        <f t="shared" si="1"/>
        <v>97 DISC INFO - TRACKS: 77, MINS: 88, SECS: 00, DISC: 1</v>
      </c>
      <c r="B100" t="s">
        <v>22</v>
      </c>
      <c r="V100">
        <f>IF(    ISNUMBER(SEARCH("10 30",'power-on'!B100,1))  +  ISNUMBER(SEARCH("10 31",'power-on'!B100,1))  +  ISNUMBER(SEARCH("70 30",'power-on'!B100,1))  +  ISNUMBER(SEARCH("70 31",'power-on'!B100,1))  +  ISNUMBER(SEARCH("77 30",'power-on'!B100,1))  +  ISNUMBER(SEARCH("77 31",'power-on'!B100,1)),1,0)</f>
        <v>1</v>
      </c>
    </row>
    <row r="101" spans="1:22" x14ac:dyDescent="0.25">
      <c r="A101" t="str">
        <f t="shared" si="1"/>
        <v>01 MASTER REQUEST - SLAVE POLL</v>
      </c>
      <c r="B101" t="s">
        <v>18</v>
      </c>
      <c r="V101">
        <f>IF(    ISNUMBER(SEARCH("10 30",'power-on'!B101,1))  +  ISNUMBER(SEARCH("10 31",'power-on'!B101,1))  +  ISNUMBER(SEARCH("70 30",'power-on'!B101,1))  +  ISNUMBER(SEARCH("70 31",'power-on'!B101,1))  +  ISNUMBER(SEARCH("77 30",'power-on'!B101,1))  +  ISNUMBER(SEARCH("77 31",'power-on'!B101,1)),1,0)</f>
        <v>0</v>
      </c>
    </row>
    <row r="102" spans="1:22" x14ac:dyDescent="0.25">
      <c r="A102" t="str">
        <f t="shared" si="1"/>
        <v>90 TIME- TRACK: 40, 01:40, DISC: 1</v>
      </c>
      <c r="B102" t="s">
        <v>105</v>
      </c>
      <c r="V102">
        <f>IF(    ISNUMBER(SEARCH("10 30",'power-on'!B102,1))  +  ISNUMBER(SEARCH("10 31",'power-on'!B102,1))  +  ISNUMBER(SEARCH("70 30",'power-on'!B102,1))  +  ISNUMBER(SEARCH("70 31",'power-on'!B102,1))  +  ISNUMBER(SEARCH("77 30",'power-on'!B102,1))  +  ISNUMBER(SEARCH("77 31",'power-on'!B102,1)),1,0)</f>
        <v>1</v>
      </c>
    </row>
    <row r="103" spans="1:22" x14ac:dyDescent="0.25">
      <c r="A103" t="str">
        <f t="shared" si="1"/>
        <v>01 MASTER REQUEST - SLAVE POLL</v>
      </c>
      <c r="B103" t="s">
        <v>18</v>
      </c>
      <c r="V103">
        <f>IF(    ISNUMBER(SEARCH("10 30",'power-on'!B103,1))  +  ISNUMBER(SEARCH("10 31",'power-on'!B103,1))  +  ISNUMBER(SEARCH("70 30",'power-on'!B103,1))  +  ISNUMBER(SEARCH("70 31",'power-on'!B103,1))  +  ISNUMBER(SEARCH("77 30",'power-on'!B103,1))  +  ISNUMBER(SEARCH("77 31",'power-on'!B103,1)),1,0)</f>
        <v>0</v>
      </c>
    </row>
    <row r="104" spans="1:22" x14ac:dyDescent="0.25">
      <c r="A104" t="str">
        <f t="shared" si="1"/>
        <v>00 STATUS - PLAYING</v>
      </c>
      <c r="B104" t="s">
        <v>25</v>
      </c>
      <c r="V104">
        <f>IF(    ISNUMBER(SEARCH("10 30",'power-on'!B104,1))  +  ISNUMBER(SEARCH("10 31",'power-on'!B104,1))  +  ISNUMBER(SEARCH("70 30",'power-on'!B104,1))  +  ISNUMBER(SEARCH("70 31",'power-on'!B104,1))  +  ISNUMBER(SEARCH("77 30",'power-on'!B104,1))  +  ISNUMBER(SEARCH("77 31",'power-on'!B104,1)),1,0)</f>
        <v>1</v>
      </c>
    </row>
    <row r="105" spans="1:22" x14ac:dyDescent="0.25">
      <c r="A105" t="str">
        <f t="shared" si="1"/>
        <v>01 MASTER REQUEST - SLAVE POLL</v>
      </c>
      <c r="B105" t="s">
        <v>18</v>
      </c>
      <c r="V105">
        <f>IF(    ISNUMBER(SEARCH("10 30",'power-on'!B105,1))  +  ISNUMBER(SEARCH("10 31",'power-on'!B105,1))  +  ISNUMBER(SEARCH("70 30",'power-on'!B105,1))  +  ISNUMBER(SEARCH("70 31",'power-on'!B105,1))  +  ISNUMBER(SEARCH("77 30",'power-on'!B105,1))  +  ISNUMBER(SEARCH("77 31",'power-on'!B105,1)),1,0)</f>
        <v>0</v>
      </c>
    </row>
    <row r="106" spans="1:22" x14ac:dyDescent="0.25">
      <c r="A106" t="str">
        <f t="shared" si="1"/>
        <v>90 TIME- TRACK: 41, 01:40, DISC: 1</v>
      </c>
      <c r="B106" t="s">
        <v>106</v>
      </c>
      <c r="V106">
        <f>IF(    ISNUMBER(SEARCH("10 30",'power-on'!B106,1))  +  ISNUMBER(SEARCH("10 31",'power-on'!B106,1))  +  ISNUMBER(SEARCH("70 30",'power-on'!B106,1))  +  ISNUMBER(SEARCH("70 31",'power-on'!B106,1))  +  ISNUMBER(SEARCH("77 30",'power-on'!B106,1))  +  ISNUMBER(SEARCH("77 31",'power-on'!B106,1)),1,0)</f>
        <v>1</v>
      </c>
    </row>
    <row r="107" spans="1:22" x14ac:dyDescent="0.25">
      <c r="A107" t="str">
        <f t="shared" si="1"/>
        <v>01 MASTER REQUEST - SLAVE POLL</v>
      </c>
      <c r="B107" t="s">
        <v>18</v>
      </c>
      <c r="V107">
        <f>IF(    ISNUMBER(SEARCH("10 30",'power-on'!B107,1))  +  ISNUMBER(SEARCH("10 31",'power-on'!B107,1))  +  ISNUMBER(SEARCH("70 30",'power-on'!B107,1))  +  ISNUMBER(SEARCH("70 31",'power-on'!B107,1))  +  ISNUMBER(SEARCH("77 30",'power-on'!B107,1))  +  ISNUMBER(SEARCH("77 31",'power-on'!B107,1)),1,0)</f>
        <v>0</v>
      </c>
    </row>
    <row r="108" spans="1:22" x14ac:dyDescent="0.25">
      <c r="A108" t="str">
        <f t="shared" si="1"/>
        <v>00 STATUS - PLAYING</v>
      </c>
      <c r="B108" t="s">
        <v>25</v>
      </c>
      <c r="V108">
        <f>IF(    ISNUMBER(SEARCH("10 30",'power-on'!B108,1))  +  ISNUMBER(SEARCH("10 31",'power-on'!B108,1))  +  ISNUMBER(SEARCH("70 30",'power-on'!B108,1))  +  ISNUMBER(SEARCH("70 31",'power-on'!B108,1))  +  ISNUMBER(SEARCH("77 30",'power-on'!B108,1))  +  ISNUMBER(SEARCH("77 31",'power-on'!B108,1)),1,0)</f>
        <v>1</v>
      </c>
    </row>
    <row r="109" spans="1:22" x14ac:dyDescent="0.25">
      <c r="A109" t="str">
        <f t="shared" si="1"/>
        <v>84 REQUEST MORE TEXT FIELDS - SEND MAGAZINE INFO</v>
      </c>
      <c r="B109" t="s">
        <v>14</v>
      </c>
      <c r="V109">
        <f>IF(    ISNUMBER(SEARCH("10 30",'power-on'!B109,1))  +  ISNUMBER(SEARCH("10 31",'power-on'!B109,1))  +  ISNUMBER(SEARCH("70 30",'power-on'!B109,1))  +  ISNUMBER(SEARCH("70 31",'power-on'!B109,1))  +  ISNUMBER(SEARCH("77 30",'power-on'!B109,1))  +  ISNUMBER(SEARCH("77 31",'power-on'!B109,1)),1,0)</f>
        <v>0</v>
      </c>
    </row>
    <row r="110" spans="1:22" x14ac:dyDescent="0.25">
      <c r="A110" t="str">
        <f t="shared" si="1"/>
        <v>01 MASTER REQUEST - TIME POLL</v>
      </c>
      <c r="B110" t="s">
        <v>15</v>
      </c>
      <c r="V110">
        <f>IF(    ISNUMBER(SEARCH("10 30",'power-on'!B110,1))  +  ISNUMBER(SEARCH("10 31",'power-on'!B110,1))  +  ISNUMBER(SEARCH("70 30",'power-on'!B110,1))  +  ISNUMBER(SEARCH("70 31",'power-on'!B110,1))  +  ISNUMBER(SEARCH("77 30",'power-on'!B110,1))  +  ISNUMBER(SEARCH("77 31",'power-on'!B110,1)),1,0)</f>
        <v>0</v>
      </c>
    </row>
    <row r="111" spans="1:22" x14ac:dyDescent="0.25">
      <c r="A111" t="str">
        <f t="shared" si="1"/>
        <v>00 STATUS - PLAYING</v>
      </c>
      <c r="B111" t="s">
        <v>25</v>
      </c>
      <c r="V111">
        <f>IF(    ISNUMBER(SEARCH("10 30",'power-on'!B111,1))  +  ISNUMBER(SEARCH("10 31",'power-on'!B111,1))  +  ISNUMBER(SEARCH("70 30",'power-on'!B111,1))  +  ISNUMBER(SEARCH("70 31",'power-on'!B111,1))  +  ISNUMBER(SEARCH("77 30",'power-on'!B111,1))  +  ISNUMBER(SEARCH("77 31",'power-on'!B111,1)),1,0)</f>
        <v>1</v>
      </c>
    </row>
    <row r="112" spans="1:22" x14ac:dyDescent="0.25">
      <c r="A112" t="str">
        <f t="shared" si="1"/>
        <v>84 REQUEST MORE TEXT FIELDS - SEND DISC INFO</v>
      </c>
      <c r="B112" t="s">
        <v>17</v>
      </c>
      <c r="V112">
        <f>IF(    ISNUMBER(SEARCH("10 30",'power-on'!B112,1))  +  ISNUMBER(SEARCH("10 31",'power-on'!B112,1))  +  ISNUMBER(SEARCH("70 30",'power-on'!B112,1))  +  ISNUMBER(SEARCH("70 31",'power-on'!B112,1))  +  ISNUMBER(SEARCH("77 30",'power-on'!B112,1))  +  ISNUMBER(SEARCH("77 31",'power-on'!B112,1)),1,0)</f>
        <v>0</v>
      </c>
    </row>
    <row r="113" spans="1:22" x14ac:dyDescent="0.25">
      <c r="A113" t="str">
        <f t="shared" si="1"/>
        <v>01 MASTER REQUEST - SLAVE POLL</v>
      </c>
      <c r="B113" t="s">
        <v>18</v>
      </c>
      <c r="V113">
        <f>IF(    ISNUMBER(SEARCH("10 30",'power-on'!B113,1))  +  ISNUMBER(SEARCH("10 31",'power-on'!B113,1))  +  ISNUMBER(SEARCH("70 30",'power-on'!B113,1))  +  ISNUMBER(SEARCH("70 31",'power-on'!B113,1))  +  ISNUMBER(SEARCH("77 30",'power-on'!B113,1))  +  ISNUMBER(SEARCH("77 31",'power-on'!B113,1)),1,0)</f>
        <v>0</v>
      </c>
    </row>
    <row r="114" spans="1:22" x14ac:dyDescent="0.25">
      <c r="A114" t="str">
        <f t="shared" si="1"/>
        <v>95 MAGAZINE INFO - CD1 YES, CD2 YES, CD3 NO, CD4 NO, CD5 NO, CD6 NO</v>
      </c>
      <c r="B114" t="s">
        <v>21</v>
      </c>
      <c r="V114">
        <f>IF(    ISNUMBER(SEARCH("10 30",'power-on'!B114,1))  +  ISNUMBER(SEARCH("10 31",'power-on'!B114,1))  +  ISNUMBER(SEARCH("70 30",'power-on'!B114,1))  +  ISNUMBER(SEARCH("70 31",'power-on'!B114,1))  +  ISNUMBER(SEARCH("77 30",'power-on'!B114,1))  +  ISNUMBER(SEARCH("77 31",'power-on'!B114,1)),1,0)</f>
        <v>1</v>
      </c>
    </row>
    <row r="115" spans="1:22" x14ac:dyDescent="0.25">
      <c r="A115" t="str">
        <f t="shared" si="1"/>
        <v>01 MASTER REQUEST - SLAVE POLL</v>
      </c>
      <c r="B115" t="s">
        <v>18</v>
      </c>
      <c r="V115">
        <f>IF(    ISNUMBER(SEARCH("10 30",'power-on'!B115,1))  +  ISNUMBER(SEARCH("10 31",'power-on'!B115,1))  +  ISNUMBER(SEARCH("70 30",'power-on'!B115,1))  +  ISNUMBER(SEARCH("70 31",'power-on'!B115,1))  +  ISNUMBER(SEARCH("77 30",'power-on'!B115,1))  +  ISNUMBER(SEARCH("77 31",'power-on'!B115,1)),1,0)</f>
        <v>0</v>
      </c>
    </row>
    <row r="116" spans="1:22" x14ac:dyDescent="0.25">
      <c r="A116" t="str">
        <f t="shared" si="1"/>
        <v>97 DISC INFO - TRACKS: 77, MINS: 88, SECS: 00, DISC: 1</v>
      </c>
      <c r="B116" t="s">
        <v>22</v>
      </c>
      <c r="V116">
        <f>IF(    ISNUMBER(SEARCH("10 30",'power-on'!B116,1))  +  ISNUMBER(SEARCH("10 31",'power-on'!B116,1))  +  ISNUMBER(SEARCH("70 30",'power-on'!B116,1))  +  ISNUMBER(SEARCH("70 31",'power-on'!B116,1))  +  ISNUMBER(SEARCH("77 30",'power-on'!B116,1))  +  ISNUMBER(SEARCH("77 31",'power-on'!B116,1)),1,0)</f>
        <v>1</v>
      </c>
    </row>
    <row r="117" spans="1:22" x14ac:dyDescent="0.25">
      <c r="A117" t="str">
        <f t="shared" si="1"/>
        <v>01 MASTER REQUEST - SLAVE POLL</v>
      </c>
      <c r="B117" t="s">
        <v>18</v>
      </c>
      <c r="V117">
        <f>IF(    ISNUMBER(SEARCH("10 30",'power-on'!B117,1))  +  ISNUMBER(SEARCH("10 31",'power-on'!B117,1))  +  ISNUMBER(SEARCH("70 30",'power-on'!B117,1))  +  ISNUMBER(SEARCH("70 31",'power-on'!B117,1))  +  ISNUMBER(SEARCH("77 30",'power-on'!B117,1))  +  ISNUMBER(SEARCH("77 31",'power-on'!B117,1)),1,0)</f>
        <v>0</v>
      </c>
    </row>
    <row r="118" spans="1:22" x14ac:dyDescent="0.25">
      <c r="A118" t="str">
        <f t="shared" si="1"/>
        <v>90 TIME- TRACK: 42, 01:41, DISC: 1</v>
      </c>
      <c r="B118" t="s">
        <v>107</v>
      </c>
      <c r="V118">
        <f>IF(    ISNUMBER(SEARCH("10 30",'power-on'!B118,1))  +  ISNUMBER(SEARCH("10 31",'power-on'!B118,1))  +  ISNUMBER(SEARCH("70 30",'power-on'!B118,1))  +  ISNUMBER(SEARCH("70 31",'power-on'!B118,1))  +  ISNUMBER(SEARCH("77 30",'power-on'!B118,1))  +  ISNUMBER(SEARCH("77 31",'power-on'!B118,1)),1,0)</f>
        <v>1</v>
      </c>
    </row>
    <row r="119" spans="1:22" x14ac:dyDescent="0.25">
      <c r="A119" t="str">
        <f t="shared" si="1"/>
        <v>01 MASTER REQUEST - SLAVE POLL</v>
      </c>
      <c r="B119" t="s">
        <v>18</v>
      </c>
      <c r="V119">
        <f>IF(    ISNUMBER(SEARCH("10 30",'power-on'!B119,1))  +  ISNUMBER(SEARCH("10 31",'power-on'!B119,1))  +  ISNUMBER(SEARCH("70 30",'power-on'!B119,1))  +  ISNUMBER(SEARCH("70 31",'power-on'!B119,1))  +  ISNUMBER(SEARCH("77 30",'power-on'!B119,1))  +  ISNUMBER(SEARCH("77 31",'power-on'!B119,1)),1,0)</f>
        <v>0</v>
      </c>
    </row>
    <row r="120" spans="1:22" x14ac:dyDescent="0.25">
      <c r="A120" t="str">
        <f t="shared" si="1"/>
        <v>00 STATUS - PLAYING</v>
      </c>
      <c r="B120" t="s">
        <v>25</v>
      </c>
      <c r="V120">
        <f>IF(    ISNUMBER(SEARCH("10 30",'power-on'!B120,1))  +  ISNUMBER(SEARCH("10 31",'power-on'!B120,1))  +  ISNUMBER(SEARCH("70 30",'power-on'!B120,1))  +  ISNUMBER(SEARCH("70 31",'power-on'!B120,1))  +  ISNUMBER(SEARCH("77 30",'power-on'!B120,1))  +  ISNUMBER(SEARCH("77 31",'power-on'!B120,1)),1,0)</f>
        <v>1</v>
      </c>
    </row>
    <row r="121" spans="1:22" x14ac:dyDescent="0.25">
      <c r="A121" t="str">
        <f t="shared" si="1"/>
        <v>84 REQUEST MORE TEXT FIELDS - SEND MAGAZINE INFO</v>
      </c>
      <c r="B121" t="s">
        <v>14</v>
      </c>
      <c r="V121">
        <f>IF(    ISNUMBER(SEARCH("10 30",'power-on'!B121,1))  +  ISNUMBER(SEARCH("10 31",'power-on'!B121,1))  +  ISNUMBER(SEARCH("70 30",'power-on'!B121,1))  +  ISNUMBER(SEARCH("70 31",'power-on'!B121,1))  +  ISNUMBER(SEARCH("77 30",'power-on'!B121,1))  +  ISNUMBER(SEARCH("77 31",'power-on'!B121,1)),1,0)</f>
        <v>0</v>
      </c>
    </row>
    <row r="122" spans="1:22" x14ac:dyDescent="0.25">
      <c r="A122" t="str">
        <f t="shared" si="1"/>
        <v>01 MASTER REQUEST - TIME POLL</v>
      </c>
      <c r="B122" t="s">
        <v>15</v>
      </c>
      <c r="V122">
        <f>IF(    ISNUMBER(SEARCH("10 30",'power-on'!B122,1))  +  ISNUMBER(SEARCH("10 31",'power-on'!B122,1))  +  ISNUMBER(SEARCH("70 30",'power-on'!B122,1))  +  ISNUMBER(SEARCH("70 31",'power-on'!B122,1))  +  ISNUMBER(SEARCH("77 30",'power-on'!B122,1))  +  ISNUMBER(SEARCH("77 31",'power-on'!B122,1)),1,0)</f>
        <v>0</v>
      </c>
    </row>
    <row r="123" spans="1:22" x14ac:dyDescent="0.25">
      <c r="A123" t="str">
        <f t="shared" si="1"/>
        <v>00 STATUS - PLAYING</v>
      </c>
      <c r="B123" t="s">
        <v>25</v>
      </c>
      <c r="V123">
        <f>IF(    ISNUMBER(SEARCH("10 30",'power-on'!B123,1))  +  ISNUMBER(SEARCH("10 31",'power-on'!B123,1))  +  ISNUMBER(SEARCH("70 30",'power-on'!B123,1))  +  ISNUMBER(SEARCH("70 31",'power-on'!B123,1))  +  ISNUMBER(SEARCH("77 30",'power-on'!B123,1))  +  ISNUMBER(SEARCH("77 31",'power-on'!B123,1)),1,0)</f>
        <v>1</v>
      </c>
    </row>
    <row r="124" spans="1:22" x14ac:dyDescent="0.25">
      <c r="A124" t="str">
        <f t="shared" si="1"/>
        <v>84 REQUEST MORE TEXT FIELDS - SEND DISC INFO</v>
      </c>
      <c r="B124" t="s">
        <v>17</v>
      </c>
      <c r="V124">
        <f>IF(    ISNUMBER(SEARCH("10 30",'power-on'!B124,1))  +  ISNUMBER(SEARCH("10 31",'power-on'!B124,1))  +  ISNUMBER(SEARCH("70 30",'power-on'!B124,1))  +  ISNUMBER(SEARCH("70 31",'power-on'!B124,1))  +  ISNUMBER(SEARCH("77 30",'power-on'!B124,1))  +  ISNUMBER(SEARCH("77 31",'power-on'!B124,1)),1,0)</f>
        <v>0</v>
      </c>
    </row>
    <row r="125" spans="1:22" x14ac:dyDescent="0.25">
      <c r="A125" t="str">
        <f t="shared" si="1"/>
        <v>01 MASTER REQUEST - SLAVE POLL</v>
      </c>
      <c r="B125" t="s">
        <v>18</v>
      </c>
      <c r="V125">
        <f>IF(    ISNUMBER(SEARCH("10 30",'power-on'!B125,1))  +  ISNUMBER(SEARCH("10 31",'power-on'!B125,1))  +  ISNUMBER(SEARCH("70 30",'power-on'!B125,1))  +  ISNUMBER(SEARCH("70 31",'power-on'!B125,1))  +  ISNUMBER(SEARCH("77 30",'power-on'!B125,1))  +  ISNUMBER(SEARCH("77 31",'power-on'!B125,1)),1,0)</f>
        <v>0</v>
      </c>
    </row>
    <row r="126" spans="1:22" x14ac:dyDescent="0.25">
      <c r="A126" t="str">
        <f t="shared" si="1"/>
        <v>95 MAGAZINE INFO - CD1 YES, CD2 YES, CD3 NO, CD4 NO, CD5 NO, CD6 NO</v>
      </c>
      <c r="B126" t="s">
        <v>21</v>
      </c>
      <c r="V126">
        <f>IF(    ISNUMBER(SEARCH("10 30",'power-on'!B126,1))  +  ISNUMBER(SEARCH("10 31",'power-on'!B126,1))  +  ISNUMBER(SEARCH("70 30",'power-on'!B126,1))  +  ISNUMBER(SEARCH("70 31",'power-on'!B126,1))  +  ISNUMBER(SEARCH("77 30",'power-on'!B126,1))  +  ISNUMBER(SEARCH("77 31",'power-on'!B126,1)),1,0)</f>
        <v>1</v>
      </c>
    </row>
    <row r="127" spans="1:22" x14ac:dyDescent="0.25">
      <c r="A127" t="str">
        <f t="shared" si="1"/>
        <v>01 MASTER REQUEST - SLAVE POLL</v>
      </c>
      <c r="B127" t="s">
        <v>18</v>
      </c>
      <c r="V127">
        <f>IF(    ISNUMBER(SEARCH("10 30",'power-on'!B127,1))  +  ISNUMBER(SEARCH("10 31",'power-on'!B127,1))  +  ISNUMBER(SEARCH("70 30",'power-on'!B127,1))  +  ISNUMBER(SEARCH("70 31",'power-on'!B127,1))  +  ISNUMBER(SEARCH("77 30",'power-on'!B127,1))  +  ISNUMBER(SEARCH("77 31",'power-on'!B127,1)),1,0)</f>
        <v>0</v>
      </c>
    </row>
    <row r="128" spans="1:22" x14ac:dyDescent="0.25">
      <c r="A128" t="str">
        <f t="shared" si="1"/>
        <v>97 DISC INFO - TRACKS: 77, MINS: 88, SECS: 00, DISC: 1</v>
      </c>
      <c r="B128" t="s">
        <v>22</v>
      </c>
      <c r="V128">
        <f>IF(    ISNUMBER(SEARCH("10 30",'power-on'!B128,1))  +  ISNUMBER(SEARCH("10 31",'power-on'!B128,1))  +  ISNUMBER(SEARCH("70 30",'power-on'!B128,1))  +  ISNUMBER(SEARCH("70 31",'power-on'!B128,1))  +  ISNUMBER(SEARCH("77 30",'power-on'!B128,1))  +  ISNUMBER(SEARCH("77 31",'power-on'!B128,1)),1,0)</f>
        <v>1</v>
      </c>
    </row>
    <row r="129" spans="1:22" x14ac:dyDescent="0.25">
      <c r="A129" t="str">
        <f t="shared" si="1"/>
        <v>01 MASTER REQUEST - SLAVE POLL</v>
      </c>
      <c r="B129" t="s">
        <v>18</v>
      </c>
      <c r="V129">
        <f>IF(    ISNUMBER(SEARCH("10 30",'power-on'!B129,1))  +  ISNUMBER(SEARCH("10 31",'power-on'!B129,1))  +  ISNUMBER(SEARCH("70 30",'power-on'!B129,1))  +  ISNUMBER(SEARCH("70 31",'power-on'!B129,1))  +  ISNUMBER(SEARCH("77 30",'power-on'!B129,1))  +  ISNUMBER(SEARCH("77 31",'power-on'!B129,1)),1,0)</f>
        <v>0</v>
      </c>
    </row>
    <row r="130" spans="1:22" x14ac:dyDescent="0.25">
      <c r="A130" t="str">
        <f t="shared" si="1"/>
        <v>90 TIME- TRACK: 43, 01:41, DISC: 1</v>
      </c>
      <c r="B130" t="s">
        <v>102</v>
      </c>
      <c r="V130">
        <f>IF(    ISNUMBER(SEARCH("10 30",'power-on'!B130,1))  +  ISNUMBER(SEARCH("10 31",'power-on'!B130,1))  +  ISNUMBER(SEARCH("70 30",'power-on'!B130,1))  +  ISNUMBER(SEARCH("70 31",'power-on'!B130,1))  +  ISNUMBER(SEARCH("77 30",'power-on'!B130,1))  +  ISNUMBER(SEARCH("77 31",'power-on'!B130,1)),1,0)</f>
        <v>1</v>
      </c>
    </row>
    <row r="131" spans="1:22" x14ac:dyDescent="0.25">
      <c r="A131" t="str">
        <f t="shared" ref="A131:A160" si="2">ParseUnilink(B131)</f>
        <v>01 MASTER REQUEST - SLAVE POLL</v>
      </c>
      <c r="B131" t="s">
        <v>18</v>
      </c>
      <c r="V131">
        <f>IF(    ISNUMBER(SEARCH("10 30",'power-on'!B131,1))  +  ISNUMBER(SEARCH("10 31",'power-on'!B131,1))  +  ISNUMBER(SEARCH("70 30",'power-on'!B131,1))  +  ISNUMBER(SEARCH("70 31",'power-on'!B131,1))  +  ISNUMBER(SEARCH("77 30",'power-on'!B131,1))  +  ISNUMBER(SEARCH("77 31",'power-on'!B131,1)),1,0)</f>
        <v>0</v>
      </c>
    </row>
    <row r="132" spans="1:22" x14ac:dyDescent="0.25">
      <c r="A132" t="str">
        <f t="shared" si="2"/>
        <v>00 STATUS - PLAYING</v>
      </c>
      <c r="B132" t="s">
        <v>25</v>
      </c>
      <c r="V132">
        <f>IF(    ISNUMBER(SEARCH("10 30",'power-on'!B132,1))  +  ISNUMBER(SEARCH("10 31",'power-on'!B132,1))  +  ISNUMBER(SEARCH("70 30",'power-on'!B132,1))  +  ISNUMBER(SEARCH("70 31",'power-on'!B132,1))  +  ISNUMBER(SEARCH("77 30",'power-on'!B132,1))  +  ISNUMBER(SEARCH("77 31",'power-on'!B132,1)),1,0)</f>
        <v>1</v>
      </c>
    </row>
    <row r="133" spans="1:22" x14ac:dyDescent="0.25">
      <c r="A133" t="str">
        <f t="shared" si="2"/>
        <v>84 REQUEST MORE TEXT FIELDS - SEND MAGAZINE INFO</v>
      </c>
      <c r="B133" t="s">
        <v>14</v>
      </c>
      <c r="V133">
        <f>IF(    ISNUMBER(SEARCH("10 30",'power-on'!B133,1))  +  ISNUMBER(SEARCH("10 31",'power-on'!B133,1))  +  ISNUMBER(SEARCH("70 30",'power-on'!B133,1))  +  ISNUMBER(SEARCH("70 31",'power-on'!B133,1))  +  ISNUMBER(SEARCH("77 30",'power-on'!B133,1))  +  ISNUMBER(SEARCH("77 31",'power-on'!B133,1)),1,0)</f>
        <v>0</v>
      </c>
    </row>
    <row r="134" spans="1:22" x14ac:dyDescent="0.25">
      <c r="A134" t="str">
        <f t="shared" si="2"/>
        <v>01 MASTER REQUEST - TIME POLL</v>
      </c>
      <c r="B134" t="s">
        <v>15</v>
      </c>
      <c r="V134">
        <f>IF(    ISNUMBER(SEARCH("10 30",'power-on'!B134,1))  +  ISNUMBER(SEARCH("10 31",'power-on'!B134,1))  +  ISNUMBER(SEARCH("70 30",'power-on'!B134,1))  +  ISNUMBER(SEARCH("70 31",'power-on'!B134,1))  +  ISNUMBER(SEARCH("77 30",'power-on'!B134,1))  +  ISNUMBER(SEARCH("77 31",'power-on'!B134,1)),1,0)</f>
        <v>0</v>
      </c>
    </row>
    <row r="135" spans="1:22" x14ac:dyDescent="0.25">
      <c r="A135" t="str">
        <f t="shared" si="2"/>
        <v>00 STATUS - PLAYING</v>
      </c>
      <c r="B135" t="s">
        <v>25</v>
      </c>
      <c r="V135">
        <f>IF(    ISNUMBER(SEARCH("10 30",'power-on'!B135,1))  +  ISNUMBER(SEARCH("10 31",'power-on'!B135,1))  +  ISNUMBER(SEARCH("70 30",'power-on'!B135,1))  +  ISNUMBER(SEARCH("70 31",'power-on'!B135,1))  +  ISNUMBER(SEARCH("77 30",'power-on'!B135,1))  +  ISNUMBER(SEARCH("77 31",'power-on'!B135,1)),1,0)</f>
        <v>1</v>
      </c>
    </row>
    <row r="136" spans="1:22" x14ac:dyDescent="0.25">
      <c r="A136" t="str">
        <f t="shared" si="2"/>
        <v>84 REQUEST MORE TEXT FIELDS - SEND DISC INFO</v>
      </c>
      <c r="B136" t="s">
        <v>17</v>
      </c>
      <c r="V136">
        <f>IF(    ISNUMBER(SEARCH("10 30",'power-on'!B136,1))  +  ISNUMBER(SEARCH("10 31",'power-on'!B136,1))  +  ISNUMBER(SEARCH("70 30",'power-on'!B136,1))  +  ISNUMBER(SEARCH("70 31",'power-on'!B136,1))  +  ISNUMBER(SEARCH("77 30",'power-on'!B136,1))  +  ISNUMBER(SEARCH("77 31",'power-on'!B136,1)),1,0)</f>
        <v>0</v>
      </c>
    </row>
    <row r="137" spans="1:22" x14ac:dyDescent="0.25">
      <c r="A137" t="str">
        <f t="shared" si="2"/>
        <v>01 MASTER REQUEST - SLAVE POLL</v>
      </c>
      <c r="B137" t="s">
        <v>18</v>
      </c>
      <c r="V137">
        <f>IF(    ISNUMBER(SEARCH("10 30",'power-on'!B137,1))  +  ISNUMBER(SEARCH("10 31",'power-on'!B137,1))  +  ISNUMBER(SEARCH("70 30",'power-on'!B137,1))  +  ISNUMBER(SEARCH("70 31",'power-on'!B137,1))  +  ISNUMBER(SEARCH("77 30",'power-on'!B137,1))  +  ISNUMBER(SEARCH("77 31",'power-on'!B137,1)),1,0)</f>
        <v>0</v>
      </c>
    </row>
    <row r="138" spans="1:22" x14ac:dyDescent="0.25">
      <c r="A138" t="str">
        <f t="shared" si="2"/>
        <v>95 MAGAZINE INFO - CD1 YES, CD2 YES, CD3 NO, CD4 NO, CD5 NO, CD6 NO</v>
      </c>
      <c r="B138" t="s">
        <v>21</v>
      </c>
      <c r="V138">
        <f>IF(    ISNUMBER(SEARCH("10 30",'power-on'!B138,1))  +  ISNUMBER(SEARCH("10 31",'power-on'!B138,1))  +  ISNUMBER(SEARCH("70 30",'power-on'!B138,1))  +  ISNUMBER(SEARCH("70 31",'power-on'!B138,1))  +  ISNUMBER(SEARCH("77 30",'power-on'!B138,1))  +  ISNUMBER(SEARCH("77 31",'power-on'!B138,1)),1,0)</f>
        <v>1</v>
      </c>
    </row>
    <row r="139" spans="1:22" x14ac:dyDescent="0.25">
      <c r="A139" t="str">
        <f t="shared" si="2"/>
        <v>01 MASTER REQUEST - SLAVE POLL</v>
      </c>
      <c r="B139" t="s">
        <v>18</v>
      </c>
      <c r="V139">
        <f>IF(    ISNUMBER(SEARCH("10 30",'power-on'!B139,1))  +  ISNUMBER(SEARCH("10 31",'power-on'!B139,1))  +  ISNUMBER(SEARCH("70 30",'power-on'!B139,1))  +  ISNUMBER(SEARCH("70 31",'power-on'!B139,1))  +  ISNUMBER(SEARCH("77 30",'power-on'!B139,1))  +  ISNUMBER(SEARCH("77 31",'power-on'!B139,1)),1,0)</f>
        <v>0</v>
      </c>
    </row>
    <row r="140" spans="1:22" x14ac:dyDescent="0.25">
      <c r="A140" t="str">
        <f t="shared" si="2"/>
        <v>97 DISC INFO - TRACKS: 77, MINS: 88, SECS: 00, DISC: 1</v>
      </c>
      <c r="B140" t="s">
        <v>22</v>
      </c>
      <c r="V140">
        <f>IF(    ISNUMBER(SEARCH("10 30",'power-on'!B140,1))  +  ISNUMBER(SEARCH("10 31",'power-on'!B140,1))  +  ISNUMBER(SEARCH("70 30",'power-on'!B140,1))  +  ISNUMBER(SEARCH("70 31",'power-on'!B140,1))  +  ISNUMBER(SEARCH("77 30",'power-on'!B140,1))  +  ISNUMBER(SEARCH("77 31",'power-on'!B140,1)),1,0)</f>
        <v>1</v>
      </c>
    </row>
    <row r="141" spans="1:22" x14ac:dyDescent="0.25">
      <c r="A141" t="str">
        <f t="shared" si="2"/>
        <v>01 MASTER REQUEST - SLAVE POLL</v>
      </c>
      <c r="B141" t="s">
        <v>18</v>
      </c>
      <c r="V141">
        <f>IF(    ISNUMBER(SEARCH("10 30",'power-on'!B141,1))  +  ISNUMBER(SEARCH("10 31",'power-on'!B141,1))  +  ISNUMBER(SEARCH("70 30",'power-on'!B141,1))  +  ISNUMBER(SEARCH("70 31",'power-on'!B141,1))  +  ISNUMBER(SEARCH("77 30",'power-on'!B141,1))  +  ISNUMBER(SEARCH("77 31",'power-on'!B141,1)),1,0)</f>
        <v>0</v>
      </c>
    </row>
    <row r="142" spans="1:22" x14ac:dyDescent="0.25">
      <c r="A142" t="str">
        <f t="shared" si="2"/>
        <v>90 TIME- TRACK: 44, 01:41, DISC: 1</v>
      </c>
      <c r="B142" t="s">
        <v>103</v>
      </c>
      <c r="V142">
        <f>IF(    ISNUMBER(SEARCH("10 30",'power-on'!B142,1))  +  ISNUMBER(SEARCH("10 31",'power-on'!B142,1))  +  ISNUMBER(SEARCH("70 30",'power-on'!B142,1))  +  ISNUMBER(SEARCH("70 31",'power-on'!B142,1))  +  ISNUMBER(SEARCH("77 30",'power-on'!B142,1))  +  ISNUMBER(SEARCH("77 31",'power-on'!B142,1)),1,0)</f>
        <v>1</v>
      </c>
    </row>
    <row r="143" spans="1:22" x14ac:dyDescent="0.25">
      <c r="A143" t="str">
        <f t="shared" si="2"/>
        <v>01 MASTER REQUEST - SLAVE POLL</v>
      </c>
      <c r="B143" t="s">
        <v>18</v>
      </c>
      <c r="V143">
        <f>IF(    ISNUMBER(SEARCH("10 30",'power-on'!B143,1))  +  ISNUMBER(SEARCH("10 31",'power-on'!B143,1))  +  ISNUMBER(SEARCH("70 30",'power-on'!B143,1))  +  ISNUMBER(SEARCH("70 31",'power-on'!B143,1))  +  ISNUMBER(SEARCH("77 30",'power-on'!B143,1))  +  ISNUMBER(SEARCH("77 31",'power-on'!B143,1)),1,0)</f>
        <v>0</v>
      </c>
    </row>
    <row r="144" spans="1:22" x14ac:dyDescent="0.25">
      <c r="A144" t="str">
        <f t="shared" si="2"/>
        <v>00 STATUS - PLAYING</v>
      </c>
      <c r="B144" t="s">
        <v>25</v>
      </c>
      <c r="V144">
        <f>IF(    ISNUMBER(SEARCH("10 30",'power-on'!B144,1))  +  ISNUMBER(SEARCH("10 31",'power-on'!B144,1))  +  ISNUMBER(SEARCH("70 30",'power-on'!B144,1))  +  ISNUMBER(SEARCH("70 31",'power-on'!B144,1))  +  ISNUMBER(SEARCH("77 30",'power-on'!B144,1))  +  ISNUMBER(SEARCH("77 31",'power-on'!B144,1)),1,0)</f>
        <v>1</v>
      </c>
    </row>
    <row r="145" spans="1:22" x14ac:dyDescent="0.25">
      <c r="A145" t="str">
        <f t="shared" si="2"/>
        <v>01 MASTER REQUEST - SLAVE POLL</v>
      </c>
      <c r="B145" t="s">
        <v>18</v>
      </c>
      <c r="V145">
        <f>IF(    ISNUMBER(SEARCH("10 30",'power-on'!B145,1))  +  ISNUMBER(SEARCH("10 31",'power-on'!B145,1))  +  ISNUMBER(SEARCH("70 30",'power-on'!B145,1))  +  ISNUMBER(SEARCH("70 31",'power-on'!B145,1))  +  ISNUMBER(SEARCH("77 30",'power-on'!B145,1))  +  ISNUMBER(SEARCH("77 31",'power-on'!B145,1)),1,0)</f>
        <v>0</v>
      </c>
    </row>
    <row r="146" spans="1:22" x14ac:dyDescent="0.25">
      <c r="A146" t="str">
        <f t="shared" si="2"/>
        <v>90 TIME- TRACK: 45, 01:41, DISC: 1</v>
      </c>
      <c r="B146" t="s">
        <v>104</v>
      </c>
      <c r="V146">
        <f>IF(    ISNUMBER(SEARCH("10 30",'power-on'!B146,1))  +  ISNUMBER(SEARCH("10 31",'power-on'!B146,1))  +  ISNUMBER(SEARCH("70 30",'power-on'!B146,1))  +  ISNUMBER(SEARCH("70 31",'power-on'!B146,1))  +  ISNUMBER(SEARCH("77 30",'power-on'!B146,1))  +  ISNUMBER(SEARCH("77 31",'power-on'!B146,1)),1,0)</f>
        <v>1</v>
      </c>
    </row>
    <row r="147" spans="1:22" x14ac:dyDescent="0.25">
      <c r="A147" t="str">
        <f t="shared" si="2"/>
        <v>01 MASTER REQUEST - SLAVE POLL</v>
      </c>
      <c r="B147" t="s">
        <v>18</v>
      </c>
      <c r="V147">
        <f>IF(    ISNUMBER(SEARCH("10 30",'power-on'!B147,1))  +  ISNUMBER(SEARCH("10 31",'power-on'!B147,1))  +  ISNUMBER(SEARCH("70 30",'power-on'!B147,1))  +  ISNUMBER(SEARCH("70 31",'power-on'!B147,1))  +  ISNUMBER(SEARCH("77 30",'power-on'!B147,1))  +  ISNUMBER(SEARCH("77 31",'power-on'!B147,1)),1,0)</f>
        <v>0</v>
      </c>
    </row>
    <row r="148" spans="1:22" x14ac:dyDescent="0.25">
      <c r="A148" t="str">
        <f t="shared" si="2"/>
        <v>00 STATUS - PLAYING</v>
      </c>
      <c r="B148" t="s">
        <v>25</v>
      </c>
      <c r="V148">
        <f>IF(    ISNUMBER(SEARCH("10 30",'power-on'!B148,1))  +  ISNUMBER(SEARCH("10 31",'power-on'!B148,1))  +  ISNUMBER(SEARCH("70 30",'power-on'!B148,1))  +  ISNUMBER(SEARCH("70 31",'power-on'!B148,1))  +  ISNUMBER(SEARCH("77 30",'power-on'!B148,1))  +  ISNUMBER(SEARCH("77 31",'power-on'!B148,1)),1,0)</f>
        <v>1</v>
      </c>
    </row>
    <row r="149" spans="1:22" x14ac:dyDescent="0.25">
      <c r="A149" t="str">
        <f t="shared" si="2"/>
        <v>84 REQUEST MORE TEXT FIELDS - SEND MAGAZINE INFO</v>
      </c>
      <c r="B149" t="s">
        <v>14</v>
      </c>
      <c r="V149">
        <f>IF(    ISNUMBER(SEARCH("10 30",'power-on'!B149,1))  +  ISNUMBER(SEARCH("10 31",'power-on'!B149,1))  +  ISNUMBER(SEARCH("70 30",'power-on'!B149,1))  +  ISNUMBER(SEARCH("70 31",'power-on'!B149,1))  +  ISNUMBER(SEARCH("77 30",'power-on'!B149,1))  +  ISNUMBER(SEARCH("77 31",'power-on'!B149,1)),1,0)</f>
        <v>0</v>
      </c>
    </row>
    <row r="150" spans="1:22" x14ac:dyDescent="0.25">
      <c r="A150" t="str">
        <f t="shared" si="2"/>
        <v>01 MASTER REQUEST - TIME POLL</v>
      </c>
      <c r="B150" t="s">
        <v>15</v>
      </c>
      <c r="V150">
        <f>IF(    ISNUMBER(SEARCH("10 30",'power-on'!B150,1))  +  ISNUMBER(SEARCH("10 31",'power-on'!B150,1))  +  ISNUMBER(SEARCH("70 30",'power-on'!B150,1))  +  ISNUMBER(SEARCH("70 31",'power-on'!B150,1))  +  ISNUMBER(SEARCH("77 30",'power-on'!B150,1))  +  ISNUMBER(SEARCH("77 31",'power-on'!B150,1)),1,0)</f>
        <v>0</v>
      </c>
    </row>
    <row r="151" spans="1:22" x14ac:dyDescent="0.25">
      <c r="A151" t="str">
        <f t="shared" si="2"/>
        <v>00 STATUS - PLAYING</v>
      </c>
      <c r="B151" t="s">
        <v>25</v>
      </c>
      <c r="V151">
        <f>IF(    ISNUMBER(SEARCH("10 30",'power-on'!B151,1))  +  ISNUMBER(SEARCH("10 31",'power-on'!B151,1))  +  ISNUMBER(SEARCH("70 30",'power-on'!B151,1))  +  ISNUMBER(SEARCH("70 31",'power-on'!B151,1))  +  ISNUMBER(SEARCH("77 30",'power-on'!B151,1))  +  ISNUMBER(SEARCH("77 31",'power-on'!B151,1)),1,0)</f>
        <v>1</v>
      </c>
    </row>
    <row r="152" spans="1:22" x14ac:dyDescent="0.25">
      <c r="A152" t="str">
        <f t="shared" si="2"/>
        <v>84 REQUEST MORE TEXT FIELDS - SEND DISC INFO</v>
      </c>
      <c r="B152" t="s">
        <v>17</v>
      </c>
      <c r="V152">
        <f>IF(    ISNUMBER(SEARCH("10 30",'power-on'!B152,1))  +  ISNUMBER(SEARCH("10 31",'power-on'!B152,1))  +  ISNUMBER(SEARCH("70 30",'power-on'!B152,1))  +  ISNUMBER(SEARCH("70 31",'power-on'!B152,1))  +  ISNUMBER(SEARCH("77 30",'power-on'!B152,1))  +  ISNUMBER(SEARCH("77 31",'power-on'!B152,1)),1,0)</f>
        <v>0</v>
      </c>
    </row>
    <row r="153" spans="1:22" x14ac:dyDescent="0.25">
      <c r="A153" t="str">
        <f t="shared" si="2"/>
        <v>01 MASTER REQUEST - SLAVE POLL</v>
      </c>
      <c r="B153" t="s">
        <v>18</v>
      </c>
      <c r="V153">
        <f>IF(    ISNUMBER(SEARCH("10 30",'power-on'!B153,1))  +  ISNUMBER(SEARCH("10 31",'power-on'!B153,1))  +  ISNUMBER(SEARCH("70 30",'power-on'!B153,1))  +  ISNUMBER(SEARCH("70 31",'power-on'!B153,1))  +  ISNUMBER(SEARCH("77 30",'power-on'!B153,1))  +  ISNUMBER(SEARCH("77 31",'power-on'!B153,1)),1,0)</f>
        <v>0</v>
      </c>
    </row>
    <row r="154" spans="1:22" x14ac:dyDescent="0.25">
      <c r="A154" t="str">
        <f t="shared" si="2"/>
        <v>95 MAGAZINE INFO - CD1 YES, CD2 YES, CD3 NO, CD4 NO, CD5 NO, CD6 NO</v>
      </c>
      <c r="B154" t="s">
        <v>21</v>
      </c>
      <c r="V154">
        <f>IF(    ISNUMBER(SEARCH("10 30",'power-on'!B154,1))  +  ISNUMBER(SEARCH("10 31",'power-on'!B154,1))  +  ISNUMBER(SEARCH("70 30",'power-on'!B154,1))  +  ISNUMBER(SEARCH("70 31",'power-on'!B154,1))  +  ISNUMBER(SEARCH("77 30",'power-on'!B154,1))  +  ISNUMBER(SEARCH("77 31",'power-on'!B154,1)),1,0)</f>
        <v>1</v>
      </c>
    </row>
    <row r="155" spans="1:22" x14ac:dyDescent="0.25">
      <c r="A155" t="str">
        <f t="shared" si="2"/>
        <v>01 MASTER REQUEST - SLAVE POLL</v>
      </c>
      <c r="B155" t="s">
        <v>18</v>
      </c>
      <c r="V155">
        <f>IF(    ISNUMBER(SEARCH("10 30",'power-on'!B155,1))  +  ISNUMBER(SEARCH("10 31",'power-on'!B155,1))  +  ISNUMBER(SEARCH("70 30",'power-on'!B155,1))  +  ISNUMBER(SEARCH("70 31",'power-on'!B155,1))  +  ISNUMBER(SEARCH("77 30",'power-on'!B155,1))  +  ISNUMBER(SEARCH("77 31",'power-on'!B155,1)),1,0)</f>
        <v>0</v>
      </c>
    </row>
    <row r="156" spans="1:22" x14ac:dyDescent="0.25">
      <c r="A156" t="str">
        <f t="shared" si="2"/>
        <v>97 DISC INFO - TRACKS: 77, MINS: 88, SECS: 00, DISC: 1</v>
      </c>
      <c r="B156" t="s">
        <v>22</v>
      </c>
      <c r="V156">
        <f>IF(    ISNUMBER(SEARCH("10 30",'power-on'!B156,1))  +  ISNUMBER(SEARCH("10 31",'power-on'!B156,1))  +  ISNUMBER(SEARCH("70 30",'power-on'!B156,1))  +  ISNUMBER(SEARCH("70 31",'power-on'!B156,1))  +  ISNUMBER(SEARCH("77 30",'power-on'!B156,1))  +  ISNUMBER(SEARCH("77 31",'power-on'!B156,1)),1,0)</f>
        <v>1</v>
      </c>
    </row>
    <row r="157" spans="1:22" x14ac:dyDescent="0.25">
      <c r="A157" t="str">
        <f t="shared" si="2"/>
        <v>01 MASTER REQUEST - SLAVE POLL</v>
      </c>
      <c r="B157" t="s">
        <v>18</v>
      </c>
      <c r="V157">
        <f>IF(    ISNUMBER(SEARCH("10 30",'power-on'!B157,1))  +  ISNUMBER(SEARCH("10 31",'power-on'!B157,1))  +  ISNUMBER(SEARCH("70 30",'power-on'!B157,1))  +  ISNUMBER(SEARCH("70 31",'power-on'!B157,1))  +  ISNUMBER(SEARCH("77 30",'power-on'!B157,1))  +  ISNUMBER(SEARCH("77 31",'power-on'!B157,1)),1,0)</f>
        <v>0</v>
      </c>
    </row>
    <row r="158" spans="1:22" x14ac:dyDescent="0.25">
      <c r="A158" t="str">
        <f t="shared" si="2"/>
        <v>90 TIME- TRACK: 40, 01:46, DISC: 1</v>
      </c>
      <c r="B158" t="s">
        <v>33</v>
      </c>
      <c r="V158">
        <f>IF(    ISNUMBER(SEARCH("10 30",'power-on'!B158,1))  +  ISNUMBER(SEARCH("10 31",'power-on'!B158,1))  +  ISNUMBER(SEARCH("70 30",'power-on'!B158,1))  +  ISNUMBER(SEARCH("70 31",'power-on'!B158,1))  +  ISNUMBER(SEARCH("77 30",'power-on'!B158,1))  +  ISNUMBER(SEARCH("77 31",'power-on'!B158,1)),1,0)</f>
        <v>1</v>
      </c>
    </row>
    <row r="159" spans="1:22" x14ac:dyDescent="0.25">
      <c r="A159" t="str">
        <f t="shared" si="2"/>
        <v>01 MASTER REQUEST - SLAVE POLL</v>
      </c>
      <c r="B159" t="s">
        <v>18</v>
      </c>
      <c r="V159">
        <f>IF(    ISNUMBER(SEARCH("10 30",'power-on'!B159,1))  +  ISNUMBER(SEARCH("10 31",'power-on'!B159,1))  +  ISNUMBER(SEARCH("70 30",'power-on'!B159,1))  +  ISNUMBER(SEARCH("70 31",'power-on'!B159,1))  +  ISNUMBER(SEARCH("77 30",'power-on'!B159,1))  +  ISNUMBER(SEARCH("77 31",'power-on'!B159,1)),1,0)</f>
        <v>0</v>
      </c>
    </row>
    <row r="160" spans="1:22" x14ac:dyDescent="0.25">
      <c r="A160" t="str">
        <f t="shared" si="2"/>
        <v>00 STATUS - PLAYING</v>
      </c>
      <c r="B160" t="s">
        <v>25</v>
      </c>
      <c r="V160">
        <f>IF(    ISNUMBER(SEARCH("10 30",'power-on'!B160,1))  +  ISNUMBER(SEARCH("10 31",'power-on'!B160,1))  +  ISNUMBER(SEARCH("70 30",'power-on'!B160,1))  +  ISNUMBER(SEARCH("70 31",'power-on'!B160,1))  +  ISNUMBER(SEARCH("77 30",'power-on'!B160,1))  +  ISNUMBER(SEARCH("77 31",'power-on'!B160,1)),1,0)</f>
        <v>1</v>
      </c>
    </row>
    <row r="161" spans="2:22" x14ac:dyDescent="0.25">
      <c r="B161" s="1"/>
      <c r="V161">
        <f>IF(    ISNUMBER(SEARCH("10 30",'power-on'!#REF!,1))  +  ISNUMBER(SEARCH("10 31",'power-on'!#REF!,1))  +  ISNUMBER(SEARCH("70 30",'power-on'!#REF!,1))  +  ISNUMBER(SEARCH("70 31",'power-on'!#REF!,1))  +  ISNUMBER(SEARCH("77 30",'power-on'!#REF!,1))  +  ISNUMBER(SEARCH("77 31",'power-on'!#REF!,1)),1,0)</f>
        <v>0</v>
      </c>
    </row>
    <row r="162" spans="2:22" x14ac:dyDescent="0.25">
      <c r="B162" s="1"/>
      <c r="V162">
        <f>IF(    ISNUMBER(SEARCH("10 30",'power-on'!B161,1))  +  ISNUMBER(SEARCH("10 31",'power-on'!B161,1))  +  ISNUMBER(SEARCH("70 30",'power-on'!B161,1))  +  ISNUMBER(SEARCH("70 31",'power-on'!B161,1))  +  ISNUMBER(SEARCH("77 30",'power-on'!B161,1))  +  ISNUMBER(SEARCH("77 31",'power-on'!B161,1)),1,0)</f>
        <v>0</v>
      </c>
    </row>
    <row r="163" spans="2:22" x14ac:dyDescent="0.25">
      <c r="B163" s="1"/>
      <c r="V163">
        <f>IF(    ISNUMBER(SEARCH("10 30",'power-on'!B162,1))  +  ISNUMBER(SEARCH("10 31",'power-on'!B162,1))  +  ISNUMBER(SEARCH("70 30",'power-on'!B162,1))  +  ISNUMBER(SEARCH("70 31",'power-on'!B162,1))  +  ISNUMBER(SEARCH("77 30",'power-on'!B162,1))  +  ISNUMBER(SEARCH("77 31",'power-on'!B162,1)),1,0)</f>
        <v>0</v>
      </c>
    </row>
    <row r="164" spans="2:22" x14ac:dyDescent="0.25">
      <c r="B164" s="1"/>
      <c r="V164">
        <f>IF(    ISNUMBER(SEARCH("10 30",'power-on'!B163,1))  +  ISNUMBER(SEARCH("10 31",'power-on'!B163,1))  +  ISNUMBER(SEARCH("70 30",'power-on'!B163,1))  +  ISNUMBER(SEARCH("70 31",'power-on'!B163,1))  +  ISNUMBER(SEARCH("77 30",'power-on'!B163,1))  +  ISNUMBER(SEARCH("77 31",'power-on'!B163,1)),1,0)</f>
        <v>0</v>
      </c>
    </row>
    <row r="165" spans="2:22" x14ac:dyDescent="0.25">
      <c r="B165" s="1"/>
      <c r="V165">
        <f>IF(    ISNUMBER(SEARCH("10 30",'power-on'!B164,1))  +  ISNUMBER(SEARCH("10 31",'power-on'!B164,1))  +  ISNUMBER(SEARCH("70 30",'power-on'!B164,1))  +  ISNUMBER(SEARCH("70 31",'power-on'!B164,1))  +  ISNUMBER(SEARCH("77 30",'power-on'!B164,1))  +  ISNUMBER(SEARCH("77 31",'power-on'!B164,1)),1,0)</f>
        <v>0</v>
      </c>
    </row>
    <row r="166" spans="2:22" x14ac:dyDescent="0.25">
      <c r="B166" s="1"/>
      <c r="V166">
        <f>IF(    ISNUMBER(SEARCH("10 30",'power-on'!B165,1))  +  ISNUMBER(SEARCH("10 31",'power-on'!B165,1))  +  ISNUMBER(SEARCH("70 30",'power-on'!B165,1))  +  ISNUMBER(SEARCH("70 31",'power-on'!B165,1))  +  ISNUMBER(SEARCH("77 30",'power-on'!B165,1))  +  ISNUMBER(SEARCH("77 31",'power-on'!B165,1)),1,0)</f>
        <v>0</v>
      </c>
    </row>
    <row r="167" spans="2:22" x14ac:dyDescent="0.25">
      <c r="B167" s="1"/>
      <c r="V167">
        <f>IF(    ISNUMBER(SEARCH("10 30",'power-on'!B166,1))  +  ISNUMBER(SEARCH("10 31",'power-on'!B166,1))  +  ISNUMBER(SEARCH("70 30",'power-on'!B166,1))  +  ISNUMBER(SEARCH("70 31",'power-on'!B166,1))  +  ISNUMBER(SEARCH("77 30",'power-on'!B166,1))  +  ISNUMBER(SEARCH("77 31",'power-on'!B166,1)),1,0)</f>
        <v>0</v>
      </c>
    </row>
    <row r="168" spans="2:22" x14ac:dyDescent="0.25">
      <c r="B168" s="1"/>
      <c r="V168">
        <f>IF(    ISNUMBER(SEARCH("10 30",'power-on'!B167,1))  +  ISNUMBER(SEARCH("10 31",'power-on'!B167,1))  +  ISNUMBER(SEARCH("70 30",'power-on'!B167,1))  +  ISNUMBER(SEARCH("70 31",'power-on'!B167,1))  +  ISNUMBER(SEARCH("77 30",'power-on'!B167,1))  +  ISNUMBER(SEARCH("77 31",'power-on'!B167,1)),1,0)</f>
        <v>0</v>
      </c>
    </row>
    <row r="169" spans="2:22" x14ac:dyDescent="0.25">
      <c r="B169" s="1"/>
      <c r="V169">
        <f>IF(    ISNUMBER(SEARCH("10 30",'power-on'!B168,1))  +  ISNUMBER(SEARCH("10 31",'power-on'!B168,1))  +  ISNUMBER(SEARCH("70 30",'power-on'!B168,1))  +  ISNUMBER(SEARCH("70 31",'power-on'!B168,1))  +  ISNUMBER(SEARCH("77 30",'power-on'!B168,1))  +  ISNUMBER(SEARCH("77 31",'power-on'!B168,1)),1,0)</f>
        <v>0</v>
      </c>
    </row>
    <row r="170" spans="2:22" x14ac:dyDescent="0.25">
      <c r="B170" s="1"/>
      <c r="V170">
        <f>IF(    ISNUMBER(SEARCH("10 30",'power-on'!B169,1))  +  ISNUMBER(SEARCH("10 31",'power-on'!B169,1))  +  ISNUMBER(SEARCH("70 30",'power-on'!B169,1))  +  ISNUMBER(SEARCH("70 31",'power-on'!B169,1))  +  ISNUMBER(SEARCH("77 30",'power-on'!B169,1))  +  ISNUMBER(SEARCH("77 31",'power-on'!B169,1)),1,0)</f>
        <v>0</v>
      </c>
    </row>
    <row r="171" spans="2:22" x14ac:dyDescent="0.25">
      <c r="B171" s="1"/>
      <c r="V171">
        <f>IF(    ISNUMBER(SEARCH("10 30",'power-on'!B170,1))  +  ISNUMBER(SEARCH("10 31",'power-on'!B170,1))  +  ISNUMBER(SEARCH("70 30",'power-on'!B170,1))  +  ISNUMBER(SEARCH("70 31",'power-on'!B170,1))  +  ISNUMBER(SEARCH("77 30",'power-on'!B170,1))  +  ISNUMBER(SEARCH("77 31",'power-on'!B170,1)),1,0)</f>
        <v>0</v>
      </c>
    </row>
    <row r="172" spans="2:22" x14ac:dyDescent="0.25">
      <c r="B172" s="1"/>
      <c r="V172">
        <f>IF(    ISNUMBER(SEARCH("10 30",'power-on'!B171,1))  +  ISNUMBER(SEARCH("10 31",'power-on'!B171,1))  +  ISNUMBER(SEARCH("70 30",'power-on'!B171,1))  +  ISNUMBER(SEARCH("70 31",'power-on'!B171,1))  +  ISNUMBER(SEARCH("77 30",'power-on'!B171,1))  +  ISNUMBER(SEARCH("77 31",'power-on'!B171,1)),1,0)</f>
        <v>0</v>
      </c>
    </row>
    <row r="173" spans="2:22" x14ac:dyDescent="0.25">
      <c r="B173" s="1"/>
      <c r="V173">
        <f>IF(    ISNUMBER(SEARCH("10 30",'power-on'!B172,1))  +  ISNUMBER(SEARCH("10 31",'power-on'!B172,1))  +  ISNUMBER(SEARCH("70 30",'power-on'!B172,1))  +  ISNUMBER(SEARCH("70 31",'power-on'!B172,1))  +  ISNUMBER(SEARCH("77 30",'power-on'!B172,1))  +  ISNUMBER(SEARCH("77 31",'power-on'!B172,1)),1,0)</f>
        <v>0</v>
      </c>
    </row>
    <row r="174" spans="2:22" x14ac:dyDescent="0.25">
      <c r="B174" s="1"/>
      <c r="V174">
        <f>IF(    ISNUMBER(SEARCH("10 30",'power-on'!B173,1))  +  ISNUMBER(SEARCH("10 31",'power-on'!B173,1))  +  ISNUMBER(SEARCH("70 30",'power-on'!B173,1))  +  ISNUMBER(SEARCH("70 31",'power-on'!B173,1))  +  ISNUMBER(SEARCH("77 30",'power-on'!B173,1))  +  ISNUMBER(SEARCH("77 31",'power-on'!B173,1)),1,0)</f>
        <v>0</v>
      </c>
    </row>
    <row r="175" spans="2:22" x14ac:dyDescent="0.25">
      <c r="B175" s="1"/>
      <c r="V175">
        <f>IF(    ISNUMBER(SEARCH("10 30",'power-on'!B174,1))  +  ISNUMBER(SEARCH("10 31",'power-on'!B174,1))  +  ISNUMBER(SEARCH("70 30",'power-on'!B174,1))  +  ISNUMBER(SEARCH("70 31",'power-on'!B174,1))  +  ISNUMBER(SEARCH("77 30",'power-on'!B174,1))  +  ISNUMBER(SEARCH("77 31",'power-on'!B174,1)),1,0)</f>
        <v>0</v>
      </c>
    </row>
    <row r="176" spans="2:22" x14ac:dyDescent="0.25">
      <c r="B176" s="1"/>
      <c r="V176">
        <f>IF(    ISNUMBER(SEARCH("10 30",'power-on'!B175,1))  +  ISNUMBER(SEARCH("10 31",'power-on'!B175,1))  +  ISNUMBER(SEARCH("70 30",'power-on'!B175,1))  +  ISNUMBER(SEARCH("70 31",'power-on'!B175,1))  +  ISNUMBER(SEARCH("77 30",'power-on'!B175,1))  +  ISNUMBER(SEARCH("77 31",'power-on'!B175,1)),1,0)</f>
        <v>0</v>
      </c>
    </row>
    <row r="177" spans="2:22" x14ac:dyDescent="0.25">
      <c r="B177" s="1"/>
      <c r="V177">
        <f>IF(    ISNUMBER(SEARCH("10 30",'power-on'!B176,1))  +  ISNUMBER(SEARCH("10 31",'power-on'!B176,1))  +  ISNUMBER(SEARCH("70 30",'power-on'!B176,1))  +  ISNUMBER(SEARCH("70 31",'power-on'!B176,1))  +  ISNUMBER(SEARCH("77 30",'power-on'!B176,1))  +  ISNUMBER(SEARCH("77 31",'power-on'!B176,1)),1,0)</f>
        <v>0</v>
      </c>
    </row>
    <row r="178" spans="2:22" x14ac:dyDescent="0.25">
      <c r="B178" s="1"/>
      <c r="V178">
        <f>IF(    ISNUMBER(SEARCH("10 30",'power-on'!B177,1))  +  ISNUMBER(SEARCH("10 31",'power-on'!B177,1))  +  ISNUMBER(SEARCH("70 30",'power-on'!B177,1))  +  ISNUMBER(SEARCH("70 31",'power-on'!B177,1))  +  ISNUMBER(SEARCH("77 30",'power-on'!B177,1))  +  ISNUMBER(SEARCH("77 31",'power-on'!B177,1)),1,0)</f>
        <v>0</v>
      </c>
    </row>
    <row r="179" spans="2:22" x14ac:dyDescent="0.25">
      <c r="B179" s="1"/>
      <c r="V179">
        <f>IF(    ISNUMBER(SEARCH("10 30",'power-on'!B178,1))  +  ISNUMBER(SEARCH("10 31",'power-on'!B178,1))  +  ISNUMBER(SEARCH("70 30",'power-on'!B178,1))  +  ISNUMBER(SEARCH("70 31",'power-on'!B178,1))  +  ISNUMBER(SEARCH("77 30",'power-on'!B178,1))  +  ISNUMBER(SEARCH("77 31",'power-on'!B178,1)),1,0)</f>
        <v>0</v>
      </c>
    </row>
    <row r="180" spans="2:22" x14ac:dyDescent="0.25">
      <c r="B180" s="1"/>
      <c r="V180">
        <f>IF(    ISNUMBER(SEARCH("10 30",'power-on'!B179,1))  +  ISNUMBER(SEARCH("10 31",'power-on'!B179,1))  +  ISNUMBER(SEARCH("70 30",'power-on'!B179,1))  +  ISNUMBER(SEARCH("70 31",'power-on'!B179,1))  +  ISNUMBER(SEARCH("77 30",'power-on'!B179,1))  +  ISNUMBER(SEARCH("77 31",'power-on'!B179,1)),1,0)</f>
        <v>0</v>
      </c>
    </row>
    <row r="181" spans="2:22" x14ac:dyDescent="0.25">
      <c r="B181" s="1"/>
      <c r="V181">
        <f>IF(    ISNUMBER(SEARCH("10 30",'power-on'!B180,1))  +  ISNUMBER(SEARCH("10 31",'power-on'!B180,1))  +  ISNUMBER(SEARCH("70 30",'power-on'!B180,1))  +  ISNUMBER(SEARCH("70 31",'power-on'!B180,1))  +  ISNUMBER(SEARCH("77 30",'power-on'!B180,1))  +  ISNUMBER(SEARCH("77 31",'power-on'!B180,1)),1,0)</f>
        <v>0</v>
      </c>
    </row>
    <row r="182" spans="2:22" x14ac:dyDescent="0.25">
      <c r="B182" s="1"/>
      <c r="V182">
        <f>IF(    ISNUMBER(SEARCH("10 30",'power-on'!B181,1))  +  ISNUMBER(SEARCH("10 31",'power-on'!B181,1))  +  ISNUMBER(SEARCH("70 30",'power-on'!B181,1))  +  ISNUMBER(SEARCH("70 31",'power-on'!B181,1))  +  ISNUMBER(SEARCH("77 30",'power-on'!B181,1))  +  ISNUMBER(SEARCH("77 31",'power-on'!B181,1)),1,0)</f>
        <v>0</v>
      </c>
    </row>
    <row r="183" spans="2:22" x14ac:dyDescent="0.25">
      <c r="B183" s="1"/>
      <c r="V183">
        <f>IF(    ISNUMBER(SEARCH("10 30",'power-on'!B182,1))  +  ISNUMBER(SEARCH("10 31",'power-on'!B182,1))  +  ISNUMBER(SEARCH("70 30",'power-on'!B182,1))  +  ISNUMBER(SEARCH("70 31",'power-on'!B182,1))  +  ISNUMBER(SEARCH("77 30",'power-on'!B182,1))  +  ISNUMBER(SEARCH("77 31",'power-on'!B182,1)),1,0)</f>
        <v>0</v>
      </c>
    </row>
    <row r="184" spans="2:22" x14ac:dyDescent="0.25">
      <c r="B184" s="1"/>
      <c r="V184">
        <f>IF(    ISNUMBER(SEARCH("10 30",'power-on'!B183,1))  +  ISNUMBER(SEARCH("10 31",'power-on'!B183,1))  +  ISNUMBER(SEARCH("70 30",'power-on'!B183,1))  +  ISNUMBER(SEARCH("70 31",'power-on'!B183,1))  +  ISNUMBER(SEARCH("77 30",'power-on'!B183,1))  +  ISNUMBER(SEARCH("77 31",'power-on'!B183,1)),1,0)</f>
        <v>0</v>
      </c>
    </row>
    <row r="185" spans="2:22" x14ac:dyDescent="0.25">
      <c r="B185" s="1"/>
      <c r="V185">
        <f>IF(    ISNUMBER(SEARCH("10 30",'power-on'!B184,1))  +  ISNUMBER(SEARCH("10 31",'power-on'!B184,1))  +  ISNUMBER(SEARCH("70 30",'power-on'!B184,1))  +  ISNUMBER(SEARCH("70 31",'power-on'!B184,1))  +  ISNUMBER(SEARCH("77 30",'power-on'!B184,1))  +  ISNUMBER(SEARCH("77 31",'power-on'!B184,1)),1,0)</f>
        <v>0</v>
      </c>
    </row>
    <row r="186" spans="2:22" x14ac:dyDescent="0.25">
      <c r="B186" s="1"/>
      <c r="V186">
        <f>IF(    ISNUMBER(SEARCH("10 30",'power-on'!B185,1))  +  ISNUMBER(SEARCH("10 31",'power-on'!B185,1))  +  ISNUMBER(SEARCH("70 30",'power-on'!B185,1))  +  ISNUMBER(SEARCH("70 31",'power-on'!B185,1))  +  ISNUMBER(SEARCH("77 30",'power-on'!B185,1))  +  ISNUMBER(SEARCH("77 31",'power-on'!B185,1)),1,0)</f>
        <v>0</v>
      </c>
    </row>
    <row r="187" spans="2:22" x14ac:dyDescent="0.25">
      <c r="B187" s="1"/>
      <c r="V187">
        <f>IF(    ISNUMBER(SEARCH("10 30",'power-on'!B186,1))  +  ISNUMBER(SEARCH("10 31",'power-on'!B186,1))  +  ISNUMBER(SEARCH("70 30",'power-on'!B186,1))  +  ISNUMBER(SEARCH("70 31",'power-on'!B186,1))  +  ISNUMBER(SEARCH("77 30",'power-on'!B186,1))  +  ISNUMBER(SEARCH("77 31",'power-on'!B186,1)),1,0)</f>
        <v>0</v>
      </c>
    </row>
    <row r="188" spans="2:22" x14ac:dyDescent="0.25">
      <c r="B188" s="1"/>
      <c r="V188">
        <f>IF(    ISNUMBER(SEARCH("10 30",'power-on'!B187,1))  +  ISNUMBER(SEARCH("10 31",'power-on'!B187,1))  +  ISNUMBER(SEARCH("70 30",'power-on'!B187,1))  +  ISNUMBER(SEARCH("70 31",'power-on'!B187,1))  +  ISNUMBER(SEARCH("77 30",'power-on'!B187,1))  +  ISNUMBER(SEARCH("77 31",'power-on'!B187,1)),1,0)</f>
        <v>0</v>
      </c>
    </row>
    <row r="189" spans="2:22" x14ac:dyDescent="0.25">
      <c r="B189" s="1"/>
      <c r="V189">
        <f>IF(    ISNUMBER(SEARCH("10 30",'power-on'!B188,1))  +  ISNUMBER(SEARCH("10 31",'power-on'!B188,1))  +  ISNUMBER(SEARCH("70 30",'power-on'!B188,1))  +  ISNUMBER(SEARCH("70 31",'power-on'!B188,1))  +  ISNUMBER(SEARCH("77 30",'power-on'!B188,1))  +  ISNUMBER(SEARCH("77 31",'power-on'!B188,1)),1,0)</f>
        <v>0</v>
      </c>
    </row>
    <row r="190" spans="2:22" x14ac:dyDescent="0.25">
      <c r="B190" s="1"/>
      <c r="V190">
        <f>IF(    ISNUMBER(SEARCH("10 30",'power-on'!B189,1))  +  ISNUMBER(SEARCH("10 31",'power-on'!B189,1))  +  ISNUMBER(SEARCH("70 30",'power-on'!B189,1))  +  ISNUMBER(SEARCH("70 31",'power-on'!B189,1))  +  ISNUMBER(SEARCH("77 30",'power-on'!B189,1))  +  ISNUMBER(SEARCH("77 31",'power-on'!B189,1)),1,0)</f>
        <v>0</v>
      </c>
    </row>
    <row r="191" spans="2:22" x14ac:dyDescent="0.25">
      <c r="B191" s="1"/>
      <c r="V191">
        <f>IF(    ISNUMBER(SEARCH("10 30",'power-on'!B190,1))  +  ISNUMBER(SEARCH("10 31",'power-on'!B190,1))  +  ISNUMBER(SEARCH("70 30",'power-on'!B190,1))  +  ISNUMBER(SEARCH("70 31",'power-on'!B190,1))  +  ISNUMBER(SEARCH("77 30",'power-on'!B190,1))  +  ISNUMBER(SEARCH("77 31",'power-on'!B190,1)),1,0)</f>
        <v>0</v>
      </c>
    </row>
    <row r="192" spans="2:22" x14ac:dyDescent="0.25">
      <c r="B192" s="1"/>
      <c r="V192">
        <f>IF(    ISNUMBER(SEARCH("10 30",'power-on'!B191,1))  +  ISNUMBER(SEARCH("10 31",'power-on'!B191,1))  +  ISNUMBER(SEARCH("70 30",'power-on'!B191,1))  +  ISNUMBER(SEARCH("70 31",'power-on'!B191,1))  +  ISNUMBER(SEARCH("77 30",'power-on'!B191,1))  +  ISNUMBER(SEARCH("77 31",'power-on'!B191,1)),1,0)</f>
        <v>0</v>
      </c>
    </row>
    <row r="193" spans="2:22" x14ac:dyDescent="0.25">
      <c r="B193" s="1"/>
      <c r="V193">
        <f>IF(    ISNUMBER(SEARCH("10 30",'power-on'!B192,1))  +  ISNUMBER(SEARCH("10 31",'power-on'!B192,1))  +  ISNUMBER(SEARCH("70 30",'power-on'!B192,1))  +  ISNUMBER(SEARCH("70 31",'power-on'!B192,1))  +  ISNUMBER(SEARCH("77 30",'power-on'!B192,1))  +  ISNUMBER(SEARCH("77 31",'power-on'!B192,1)),1,0)</f>
        <v>0</v>
      </c>
    </row>
    <row r="194" spans="2:22" x14ac:dyDescent="0.25">
      <c r="B194" s="1"/>
      <c r="V194">
        <f>IF(    ISNUMBER(SEARCH("10 30",'power-on'!B193,1))  +  ISNUMBER(SEARCH("10 31",'power-on'!B193,1))  +  ISNUMBER(SEARCH("70 30",'power-on'!B193,1))  +  ISNUMBER(SEARCH("70 31",'power-on'!B193,1))  +  ISNUMBER(SEARCH("77 30",'power-on'!B193,1))  +  ISNUMBER(SEARCH("77 31",'power-on'!B193,1)),1,0)</f>
        <v>0</v>
      </c>
    </row>
    <row r="195" spans="2:22" x14ac:dyDescent="0.25">
      <c r="B195" s="1"/>
      <c r="V195">
        <f>IF(    ISNUMBER(SEARCH("10 30",'power-on'!B194,1))  +  ISNUMBER(SEARCH("10 31",'power-on'!B194,1))  +  ISNUMBER(SEARCH("70 30",'power-on'!B194,1))  +  ISNUMBER(SEARCH("70 31",'power-on'!B194,1))  +  ISNUMBER(SEARCH("77 30",'power-on'!B194,1))  +  ISNUMBER(SEARCH("77 31",'power-on'!B194,1)),1,0)</f>
        <v>0</v>
      </c>
    </row>
    <row r="196" spans="2:22" x14ac:dyDescent="0.25">
      <c r="B196" s="1"/>
      <c r="V196">
        <f>IF(    ISNUMBER(SEARCH("10 30",'power-on'!B195,1))  +  ISNUMBER(SEARCH("10 31",'power-on'!B195,1))  +  ISNUMBER(SEARCH("70 30",'power-on'!B195,1))  +  ISNUMBER(SEARCH("70 31",'power-on'!B195,1))  +  ISNUMBER(SEARCH("77 30",'power-on'!B195,1))  +  ISNUMBER(SEARCH("77 31",'power-on'!B195,1)),1,0)</f>
        <v>0</v>
      </c>
    </row>
    <row r="197" spans="2:22" x14ac:dyDescent="0.25">
      <c r="B197" s="1"/>
      <c r="V197">
        <f>IF(    ISNUMBER(SEARCH("10 30",'power-on'!B196,1))  +  ISNUMBER(SEARCH("10 31",'power-on'!B196,1))  +  ISNUMBER(SEARCH("70 30",'power-on'!B196,1))  +  ISNUMBER(SEARCH("70 31",'power-on'!B196,1))  +  ISNUMBER(SEARCH("77 30",'power-on'!B196,1))  +  ISNUMBER(SEARCH("77 31",'power-on'!B196,1)),1,0)</f>
        <v>0</v>
      </c>
    </row>
    <row r="198" spans="2:22" x14ac:dyDescent="0.25">
      <c r="B198" s="1"/>
      <c r="V198">
        <f>IF(    ISNUMBER(SEARCH("10 30",'power-on'!B197,1))  +  ISNUMBER(SEARCH("10 31",'power-on'!B197,1))  +  ISNUMBER(SEARCH("70 30",'power-on'!B197,1))  +  ISNUMBER(SEARCH("70 31",'power-on'!B197,1))  +  ISNUMBER(SEARCH("77 30",'power-on'!B197,1))  +  ISNUMBER(SEARCH("77 31",'power-on'!B197,1)),1,0)</f>
        <v>0</v>
      </c>
    </row>
    <row r="199" spans="2:22" x14ac:dyDescent="0.25">
      <c r="B199" s="1"/>
      <c r="V199">
        <f>IF(    ISNUMBER(SEARCH("10 30",'power-on'!B198,1))  +  ISNUMBER(SEARCH("10 31",'power-on'!B198,1))  +  ISNUMBER(SEARCH("70 30",'power-on'!B198,1))  +  ISNUMBER(SEARCH("70 31",'power-on'!B198,1))  +  ISNUMBER(SEARCH("77 30",'power-on'!B198,1))  +  ISNUMBER(SEARCH("77 31",'power-on'!B198,1)),1,0)</f>
        <v>0</v>
      </c>
    </row>
    <row r="200" spans="2:22" x14ac:dyDescent="0.25">
      <c r="B200" s="1"/>
      <c r="V200">
        <f>IF(    ISNUMBER(SEARCH("10 30",'power-on'!B199,1))  +  ISNUMBER(SEARCH("10 31",'power-on'!B199,1))  +  ISNUMBER(SEARCH("70 30",'power-on'!B199,1))  +  ISNUMBER(SEARCH("70 31",'power-on'!B199,1))  +  ISNUMBER(SEARCH("77 30",'power-on'!B199,1))  +  ISNUMBER(SEARCH("77 31",'power-on'!B199,1)),1,0)</f>
        <v>0</v>
      </c>
    </row>
    <row r="201" spans="2:22" x14ac:dyDescent="0.25">
      <c r="B201" s="1"/>
      <c r="V201">
        <f>IF(    ISNUMBER(SEARCH("10 30",'power-on'!B200,1))  +  ISNUMBER(SEARCH("10 31",'power-on'!B200,1))  +  ISNUMBER(SEARCH("70 30",'power-on'!B200,1))  +  ISNUMBER(SEARCH("70 31",'power-on'!B200,1))  +  ISNUMBER(SEARCH("77 30",'power-on'!B200,1))  +  ISNUMBER(SEARCH("77 31",'power-on'!B200,1)),1,0)</f>
        <v>0</v>
      </c>
    </row>
    <row r="202" spans="2:22" x14ac:dyDescent="0.25">
      <c r="B202" s="1"/>
      <c r="V202">
        <f>IF(    ISNUMBER(SEARCH("10 30",'power-on'!B201,1))  +  ISNUMBER(SEARCH("10 31",'power-on'!B201,1))  +  ISNUMBER(SEARCH("70 30",'power-on'!B201,1))  +  ISNUMBER(SEARCH("70 31",'power-on'!B201,1))  +  ISNUMBER(SEARCH("77 30",'power-on'!B201,1))  +  ISNUMBER(SEARCH("77 31",'power-on'!B201,1)),1,0)</f>
        <v>0</v>
      </c>
    </row>
    <row r="203" spans="2:22" x14ac:dyDescent="0.25">
      <c r="B203" s="1"/>
      <c r="V203">
        <f>IF(    ISNUMBER(SEARCH("10 30",'power-on'!B202,1))  +  ISNUMBER(SEARCH("10 31",'power-on'!B202,1))  +  ISNUMBER(SEARCH("70 30",'power-on'!B202,1))  +  ISNUMBER(SEARCH("70 31",'power-on'!B202,1))  +  ISNUMBER(SEARCH("77 30",'power-on'!B202,1))  +  ISNUMBER(SEARCH("77 31",'power-on'!B202,1)),1,0)</f>
        <v>0</v>
      </c>
    </row>
    <row r="204" spans="2:22" x14ac:dyDescent="0.25">
      <c r="B204" s="1"/>
      <c r="V204">
        <f>IF(    ISNUMBER(SEARCH("10 30",'power-on'!B203,1))  +  ISNUMBER(SEARCH("10 31",'power-on'!B203,1))  +  ISNUMBER(SEARCH("70 30",'power-on'!B203,1))  +  ISNUMBER(SEARCH("70 31",'power-on'!B203,1))  +  ISNUMBER(SEARCH("77 30",'power-on'!B203,1))  +  ISNUMBER(SEARCH("77 31",'power-on'!B203,1)),1,0)</f>
        <v>0</v>
      </c>
    </row>
    <row r="205" spans="2:22" x14ac:dyDescent="0.25">
      <c r="B205" s="1"/>
      <c r="V205">
        <f>IF(    ISNUMBER(SEARCH("10 30",'power-on'!B204,1))  +  ISNUMBER(SEARCH("10 31",'power-on'!B204,1))  +  ISNUMBER(SEARCH("70 30",'power-on'!B204,1))  +  ISNUMBER(SEARCH("70 31",'power-on'!B204,1))  +  ISNUMBER(SEARCH("77 30",'power-on'!B204,1))  +  ISNUMBER(SEARCH("77 31",'power-on'!B204,1)),1,0)</f>
        <v>0</v>
      </c>
    </row>
    <row r="206" spans="2:22" x14ac:dyDescent="0.25">
      <c r="B206" s="1"/>
      <c r="V206">
        <f>IF(    ISNUMBER(SEARCH("10 30",'power-on'!B205,1))  +  ISNUMBER(SEARCH("10 31",'power-on'!B205,1))  +  ISNUMBER(SEARCH("70 30",'power-on'!B205,1))  +  ISNUMBER(SEARCH("70 31",'power-on'!B205,1))  +  ISNUMBER(SEARCH("77 30",'power-on'!B205,1))  +  ISNUMBER(SEARCH("77 31",'power-on'!B205,1)),1,0)</f>
        <v>0</v>
      </c>
    </row>
    <row r="207" spans="2:22" x14ac:dyDescent="0.25">
      <c r="B207" s="1"/>
      <c r="V207">
        <f>IF(    ISNUMBER(SEARCH("10 30",'power-on'!B206,1))  +  ISNUMBER(SEARCH("10 31",'power-on'!B206,1))  +  ISNUMBER(SEARCH("70 30",'power-on'!B206,1))  +  ISNUMBER(SEARCH("70 31",'power-on'!B206,1))  +  ISNUMBER(SEARCH("77 30",'power-on'!B206,1))  +  ISNUMBER(SEARCH("77 31",'power-on'!B206,1)),1,0)</f>
        <v>0</v>
      </c>
    </row>
    <row r="208" spans="2:22" x14ac:dyDescent="0.25">
      <c r="B208" s="1"/>
      <c r="V208">
        <f>IF(    ISNUMBER(SEARCH("10 30",'power-on'!B207,1))  +  ISNUMBER(SEARCH("10 31",'power-on'!B207,1))  +  ISNUMBER(SEARCH("70 30",'power-on'!B207,1))  +  ISNUMBER(SEARCH("70 31",'power-on'!B207,1))  +  ISNUMBER(SEARCH("77 30",'power-on'!B207,1))  +  ISNUMBER(SEARCH("77 31",'power-on'!B207,1)),1,0)</f>
        <v>0</v>
      </c>
    </row>
    <row r="209" spans="2:22" x14ac:dyDescent="0.25">
      <c r="B209" s="1"/>
      <c r="V209">
        <f>IF(    ISNUMBER(SEARCH("10 30",'power-on'!B208,1))  +  ISNUMBER(SEARCH("10 31",'power-on'!B208,1))  +  ISNUMBER(SEARCH("70 30",'power-on'!B208,1))  +  ISNUMBER(SEARCH("70 31",'power-on'!B208,1))  +  ISNUMBER(SEARCH("77 30",'power-on'!B208,1))  +  ISNUMBER(SEARCH("77 31",'power-on'!B208,1)),1,0)</f>
        <v>0</v>
      </c>
    </row>
    <row r="210" spans="2:22" x14ac:dyDescent="0.25">
      <c r="B210" s="1"/>
      <c r="V210">
        <f>IF(    ISNUMBER(SEARCH("10 30",'power-on'!B209,1))  +  ISNUMBER(SEARCH("10 31",'power-on'!B209,1))  +  ISNUMBER(SEARCH("70 30",'power-on'!B209,1))  +  ISNUMBER(SEARCH("70 31",'power-on'!B209,1))  +  ISNUMBER(SEARCH("77 30",'power-on'!B209,1))  +  ISNUMBER(SEARCH("77 31",'power-on'!B209,1)),1,0)</f>
        <v>0</v>
      </c>
    </row>
    <row r="211" spans="2:22" x14ac:dyDescent="0.25">
      <c r="B211" s="1"/>
      <c r="V211">
        <f>IF(    ISNUMBER(SEARCH("10 30",'power-on'!B210,1))  +  ISNUMBER(SEARCH("10 31",'power-on'!B210,1))  +  ISNUMBER(SEARCH("70 30",'power-on'!B210,1))  +  ISNUMBER(SEARCH("70 31",'power-on'!B210,1))  +  ISNUMBER(SEARCH("77 30",'power-on'!B210,1))  +  ISNUMBER(SEARCH("77 31",'power-on'!B210,1)),1,0)</f>
        <v>0</v>
      </c>
    </row>
    <row r="212" spans="2:22" x14ac:dyDescent="0.25">
      <c r="B212" s="1"/>
      <c r="V212">
        <f>IF(    ISNUMBER(SEARCH("10 30",'power-on'!B211,1))  +  ISNUMBER(SEARCH("10 31",'power-on'!B211,1))  +  ISNUMBER(SEARCH("70 30",'power-on'!B211,1))  +  ISNUMBER(SEARCH("70 31",'power-on'!B211,1))  +  ISNUMBER(SEARCH("77 30",'power-on'!B211,1))  +  ISNUMBER(SEARCH("77 31",'power-on'!B211,1)),1,0)</f>
        <v>0</v>
      </c>
    </row>
    <row r="213" spans="2:22" x14ac:dyDescent="0.25">
      <c r="B213" s="1"/>
      <c r="V213">
        <f>IF(    ISNUMBER(SEARCH("10 30",'power-on'!B212,1))  +  ISNUMBER(SEARCH("10 31",'power-on'!B212,1))  +  ISNUMBER(SEARCH("70 30",'power-on'!B212,1))  +  ISNUMBER(SEARCH("70 31",'power-on'!B212,1))  +  ISNUMBER(SEARCH("77 30",'power-on'!B212,1))  +  ISNUMBER(SEARCH("77 31",'power-on'!B212,1)),1,0)</f>
        <v>0</v>
      </c>
    </row>
    <row r="214" spans="2:22" x14ac:dyDescent="0.25">
      <c r="B214" s="1"/>
      <c r="V214">
        <f>IF(    ISNUMBER(SEARCH("10 30",'power-on'!B213,1))  +  ISNUMBER(SEARCH("10 31",'power-on'!B213,1))  +  ISNUMBER(SEARCH("70 30",'power-on'!B213,1))  +  ISNUMBER(SEARCH("70 31",'power-on'!B213,1))  +  ISNUMBER(SEARCH("77 30",'power-on'!B213,1))  +  ISNUMBER(SEARCH("77 31",'power-on'!B213,1)),1,0)</f>
        <v>0</v>
      </c>
    </row>
    <row r="215" spans="2:22" x14ac:dyDescent="0.25">
      <c r="B215" s="1"/>
      <c r="V215">
        <f>IF(    ISNUMBER(SEARCH("10 30",'power-on'!B214,1))  +  ISNUMBER(SEARCH("10 31",'power-on'!B214,1))  +  ISNUMBER(SEARCH("70 30",'power-on'!B214,1))  +  ISNUMBER(SEARCH("70 31",'power-on'!B214,1))  +  ISNUMBER(SEARCH("77 30",'power-on'!B214,1))  +  ISNUMBER(SEARCH("77 31",'power-on'!B214,1)),1,0)</f>
        <v>0</v>
      </c>
    </row>
    <row r="216" spans="2:22" x14ac:dyDescent="0.25">
      <c r="B216" s="1"/>
      <c r="V216">
        <f>IF(    ISNUMBER(SEARCH("10 30",'power-on'!B215,1))  +  ISNUMBER(SEARCH("10 31",'power-on'!B215,1))  +  ISNUMBER(SEARCH("70 30",'power-on'!B215,1))  +  ISNUMBER(SEARCH("70 31",'power-on'!B215,1))  +  ISNUMBER(SEARCH("77 30",'power-on'!B215,1))  +  ISNUMBER(SEARCH("77 31",'power-on'!B215,1)),1,0)</f>
        <v>0</v>
      </c>
    </row>
    <row r="217" spans="2:22" x14ac:dyDescent="0.25">
      <c r="B217" s="1"/>
      <c r="V217">
        <f>IF(    ISNUMBER(SEARCH("10 30",'power-on'!B216,1))  +  ISNUMBER(SEARCH("10 31",'power-on'!B216,1))  +  ISNUMBER(SEARCH("70 30",'power-on'!B216,1))  +  ISNUMBER(SEARCH("70 31",'power-on'!B216,1))  +  ISNUMBER(SEARCH("77 30",'power-on'!B216,1))  +  ISNUMBER(SEARCH("77 31",'power-on'!B216,1)),1,0)</f>
        <v>0</v>
      </c>
    </row>
    <row r="218" spans="2:22" x14ac:dyDescent="0.25">
      <c r="B218" s="1"/>
      <c r="V218">
        <f>IF(    ISNUMBER(SEARCH("10 30",'power-on'!B217,1))  +  ISNUMBER(SEARCH("10 31",'power-on'!B217,1))  +  ISNUMBER(SEARCH("70 30",'power-on'!B217,1))  +  ISNUMBER(SEARCH("70 31",'power-on'!B217,1))  +  ISNUMBER(SEARCH("77 30",'power-on'!B217,1))  +  ISNUMBER(SEARCH("77 31",'power-on'!B217,1)),1,0)</f>
        <v>0</v>
      </c>
    </row>
    <row r="219" spans="2:22" x14ac:dyDescent="0.25">
      <c r="B219" s="1"/>
      <c r="V219">
        <f>IF(    ISNUMBER(SEARCH("10 30",'power-on'!B218,1))  +  ISNUMBER(SEARCH("10 31",'power-on'!B218,1))  +  ISNUMBER(SEARCH("70 30",'power-on'!B218,1))  +  ISNUMBER(SEARCH("70 31",'power-on'!B218,1))  +  ISNUMBER(SEARCH("77 30",'power-on'!B218,1))  +  ISNUMBER(SEARCH("77 31",'power-on'!B218,1)),1,0)</f>
        <v>0</v>
      </c>
    </row>
    <row r="220" spans="2:22" x14ac:dyDescent="0.25">
      <c r="B220" s="1"/>
      <c r="V220">
        <f>IF(    ISNUMBER(SEARCH("10 30",'power-on'!B219,1))  +  ISNUMBER(SEARCH("10 31",'power-on'!B219,1))  +  ISNUMBER(SEARCH("70 30",'power-on'!B219,1))  +  ISNUMBER(SEARCH("70 31",'power-on'!B219,1))  +  ISNUMBER(SEARCH("77 30",'power-on'!B219,1))  +  ISNUMBER(SEARCH("77 31",'power-on'!B219,1)),1,0)</f>
        <v>0</v>
      </c>
    </row>
    <row r="221" spans="2:22" x14ac:dyDescent="0.25">
      <c r="B221" s="1"/>
      <c r="V221">
        <f>IF(    ISNUMBER(SEARCH("10 30",'power-on'!B220,1))  +  ISNUMBER(SEARCH("10 31",'power-on'!B220,1))  +  ISNUMBER(SEARCH("70 30",'power-on'!B220,1))  +  ISNUMBER(SEARCH("70 31",'power-on'!B220,1))  +  ISNUMBER(SEARCH("77 30",'power-on'!B220,1))  +  ISNUMBER(SEARCH("77 31",'power-on'!B220,1)),1,0)</f>
        <v>0</v>
      </c>
    </row>
    <row r="222" spans="2:22" x14ac:dyDescent="0.25">
      <c r="B222" s="1"/>
      <c r="V222">
        <f>IF(    ISNUMBER(SEARCH("10 30",'power-on'!B221,1))  +  ISNUMBER(SEARCH("10 31",'power-on'!B221,1))  +  ISNUMBER(SEARCH("70 30",'power-on'!B221,1))  +  ISNUMBER(SEARCH("70 31",'power-on'!B221,1))  +  ISNUMBER(SEARCH("77 30",'power-on'!B221,1))  +  ISNUMBER(SEARCH("77 31",'power-on'!B221,1)),1,0)</f>
        <v>0</v>
      </c>
    </row>
    <row r="223" spans="2:22" x14ac:dyDescent="0.25">
      <c r="B223" s="1"/>
      <c r="V223">
        <f>IF(    ISNUMBER(SEARCH("10 30",'power-on'!B222,1))  +  ISNUMBER(SEARCH("10 31",'power-on'!B222,1))  +  ISNUMBER(SEARCH("70 30",'power-on'!B222,1))  +  ISNUMBER(SEARCH("70 31",'power-on'!B222,1))  +  ISNUMBER(SEARCH("77 30",'power-on'!B222,1))  +  ISNUMBER(SEARCH("77 31",'power-on'!B222,1)),1,0)</f>
        <v>0</v>
      </c>
    </row>
    <row r="224" spans="2:22" x14ac:dyDescent="0.25">
      <c r="B224" s="1"/>
      <c r="V224">
        <f>IF(    ISNUMBER(SEARCH("10 30",'power-on'!B223,1))  +  ISNUMBER(SEARCH("10 31",'power-on'!B223,1))  +  ISNUMBER(SEARCH("70 30",'power-on'!B223,1))  +  ISNUMBER(SEARCH("70 31",'power-on'!B223,1))  +  ISNUMBER(SEARCH("77 30",'power-on'!B223,1))  +  ISNUMBER(SEARCH("77 31",'power-on'!B223,1)),1,0)</f>
        <v>0</v>
      </c>
    </row>
    <row r="225" spans="2:22" x14ac:dyDescent="0.25">
      <c r="B225" s="1"/>
      <c r="V225">
        <f>IF(    ISNUMBER(SEARCH("10 30",'power-on'!B224,1))  +  ISNUMBER(SEARCH("10 31",'power-on'!B224,1))  +  ISNUMBER(SEARCH("70 30",'power-on'!B224,1))  +  ISNUMBER(SEARCH("70 31",'power-on'!B224,1))  +  ISNUMBER(SEARCH("77 30",'power-on'!B224,1))  +  ISNUMBER(SEARCH("77 31",'power-on'!B224,1)),1,0)</f>
        <v>0</v>
      </c>
    </row>
    <row r="226" spans="2:22" x14ac:dyDescent="0.25">
      <c r="B226" s="1"/>
      <c r="V226">
        <f>IF(    ISNUMBER(SEARCH("10 30",'power-on'!B225,1))  +  ISNUMBER(SEARCH("10 31",'power-on'!B225,1))  +  ISNUMBER(SEARCH("70 30",'power-on'!B225,1))  +  ISNUMBER(SEARCH("70 31",'power-on'!B225,1))  +  ISNUMBER(SEARCH("77 30",'power-on'!B225,1))  +  ISNUMBER(SEARCH("77 31",'power-on'!B225,1)),1,0)</f>
        <v>0</v>
      </c>
    </row>
    <row r="227" spans="2:22" x14ac:dyDescent="0.25">
      <c r="B227" s="1"/>
      <c r="V227">
        <f>IF(    ISNUMBER(SEARCH("10 30",'power-on'!B226,1))  +  ISNUMBER(SEARCH("10 31",'power-on'!B226,1))  +  ISNUMBER(SEARCH("70 30",'power-on'!B226,1))  +  ISNUMBER(SEARCH("70 31",'power-on'!B226,1))  +  ISNUMBER(SEARCH("77 30",'power-on'!B226,1))  +  ISNUMBER(SEARCH("77 31",'power-on'!B226,1)),1,0)</f>
        <v>0</v>
      </c>
    </row>
    <row r="228" spans="2:22" x14ac:dyDescent="0.25">
      <c r="B228" s="1"/>
      <c r="V228">
        <f>IF(    ISNUMBER(SEARCH("10 30",'power-on'!B227,1))  +  ISNUMBER(SEARCH("10 31",'power-on'!B227,1))  +  ISNUMBER(SEARCH("70 30",'power-on'!B227,1))  +  ISNUMBER(SEARCH("70 31",'power-on'!B227,1))  +  ISNUMBER(SEARCH("77 30",'power-on'!B227,1))  +  ISNUMBER(SEARCH("77 31",'power-on'!B227,1)),1,0)</f>
        <v>0</v>
      </c>
    </row>
    <row r="229" spans="2:22" x14ac:dyDescent="0.25">
      <c r="B229" s="1"/>
      <c r="V229">
        <f>IF(    ISNUMBER(SEARCH("10 30",'power-on'!B228,1))  +  ISNUMBER(SEARCH("10 31",'power-on'!B228,1))  +  ISNUMBER(SEARCH("70 30",'power-on'!B228,1))  +  ISNUMBER(SEARCH("70 31",'power-on'!B228,1))  +  ISNUMBER(SEARCH("77 30",'power-on'!B228,1))  +  ISNUMBER(SEARCH("77 31",'power-on'!B228,1)),1,0)</f>
        <v>0</v>
      </c>
    </row>
    <row r="230" spans="2:22" x14ac:dyDescent="0.25">
      <c r="B230" s="1"/>
      <c r="V230">
        <f>IF(    ISNUMBER(SEARCH("10 30",'power-on'!B229,1))  +  ISNUMBER(SEARCH("10 31",'power-on'!B229,1))  +  ISNUMBER(SEARCH("70 30",'power-on'!B229,1))  +  ISNUMBER(SEARCH("70 31",'power-on'!B229,1))  +  ISNUMBER(SEARCH("77 30",'power-on'!B229,1))  +  ISNUMBER(SEARCH("77 31",'power-on'!B229,1)),1,0)</f>
        <v>0</v>
      </c>
    </row>
    <row r="231" spans="2:22" x14ac:dyDescent="0.25">
      <c r="B231" s="1"/>
      <c r="V231">
        <f>IF(    ISNUMBER(SEARCH("10 30",'power-on'!B230,1))  +  ISNUMBER(SEARCH("10 31",'power-on'!B230,1))  +  ISNUMBER(SEARCH("70 30",'power-on'!B230,1))  +  ISNUMBER(SEARCH("70 31",'power-on'!B230,1))  +  ISNUMBER(SEARCH("77 30",'power-on'!B230,1))  +  ISNUMBER(SEARCH("77 31",'power-on'!B230,1)),1,0)</f>
        <v>0</v>
      </c>
    </row>
    <row r="232" spans="2:22" x14ac:dyDescent="0.25">
      <c r="B232" s="1"/>
      <c r="V232">
        <f>IF(    ISNUMBER(SEARCH("10 30",'power-on'!B231,1))  +  ISNUMBER(SEARCH("10 31",'power-on'!B231,1))  +  ISNUMBER(SEARCH("70 30",'power-on'!B231,1))  +  ISNUMBER(SEARCH("70 31",'power-on'!B231,1))  +  ISNUMBER(SEARCH("77 30",'power-on'!B231,1))  +  ISNUMBER(SEARCH("77 31",'power-on'!B231,1)),1,0)</f>
        <v>0</v>
      </c>
    </row>
    <row r="233" spans="2:22" x14ac:dyDescent="0.25">
      <c r="B233" s="1"/>
      <c r="V233">
        <f>IF(    ISNUMBER(SEARCH("10 30",'power-on'!B232,1))  +  ISNUMBER(SEARCH("10 31",'power-on'!B232,1))  +  ISNUMBER(SEARCH("70 30",'power-on'!B232,1))  +  ISNUMBER(SEARCH("70 31",'power-on'!B232,1))  +  ISNUMBER(SEARCH("77 30",'power-on'!B232,1))  +  ISNUMBER(SEARCH("77 31",'power-on'!B232,1)),1,0)</f>
        <v>0</v>
      </c>
    </row>
    <row r="234" spans="2:22" x14ac:dyDescent="0.25">
      <c r="B234" s="1"/>
      <c r="V234">
        <f>IF(    ISNUMBER(SEARCH("10 30",'power-on'!B233,1))  +  ISNUMBER(SEARCH("10 31",'power-on'!B233,1))  +  ISNUMBER(SEARCH("70 30",'power-on'!B233,1))  +  ISNUMBER(SEARCH("70 31",'power-on'!B233,1))  +  ISNUMBER(SEARCH("77 30",'power-on'!B233,1))  +  ISNUMBER(SEARCH("77 31",'power-on'!B233,1)),1,0)</f>
        <v>0</v>
      </c>
    </row>
    <row r="235" spans="2:22" x14ac:dyDescent="0.25">
      <c r="B235" s="1"/>
      <c r="V235">
        <f>IF(    ISNUMBER(SEARCH("10 30",'power-on'!B234,1))  +  ISNUMBER(SEARCH("10 31",'power-on'!B234,1))  +  ISNUMBER(SEARCH("70 30",'power-on'!B234,1))  +  ISNUMBER(SEARCH("70 31",'power-on'!B234,1))  +  ISNUMBER(SEARCH("77 30",'power-on'!B234,1))  +  ISNUMBER(SEARCH("77 31",'power-on'!B234,1)),1,0)</f>
        <v>0</v>
      </c>
    </row>
    <row r="236" spans="2:22" x14ac:dyDescent="0.25">
      <c r="B236" s="1"/>
      <c r="V236">
        <f>IF(    ISNUMBER(SEARCH("10 30",'power-on'!B235,1))  +  ISNUMBER(SEARCH("10 31",'power-on'!B235,1))  +  ISNUMBER(SEARCH("70 30",'power-on'!B235,1))  +  ISNUMBER(SEARCH("70 31",'power-on'!B235,1))  +  ISNUMBER(SEARCH("77 30",'power-on'!B235,1))  +  ISNUMBER(SEARCH("77 31",'power-on'!B235,1)),1,0)</f>
        <v>0</v>
      </c>
    </row>
    <row r="237" spans="2:22" x14ac:dyDescent="0.25">
      <c r="B237" s="1"/>
      <c r="V237">
        <f>IF(    ISNUMBER(SEARCH("10 30",'power-on'!B236,1))  +  ISNUMBER(SEARCH("10 31",'power-on'!B236,1))  +  ISNUMBER(SEARCH("70 30",'power-on'!B236,1))  +  ISNUMBER(SEARCH("70 31",'power-on'!B236,1))  +  ISNUMBER(SEARCH("77 30",'power-on'!B236,1))  +  ISNUMBER(SEARCH("77 31",'power-on'!B236,1)),1,0)</f>
        <v>0</v>
      </c>
    </row>
    <row r="238" spans="2:22" x14ac:dyDescent="0.25">
      <c r="B238" s="1"/>
      <c r="V238">
        <f>IF(    ISNUMBER(SEARCH("10 30",'power-on'!B237,1))  +  ISNUMBER(SEARCH("10 31",'power-on'!B237,1))  +  ISNUMBER(SEARCH("70 30",'power-on'!B237,1))  +  ISNUMBER(SEARCH("70 31",'power-on'!B237,1))  +  ISNUMBER(SEARCH("77 30",'power-on'!B237,1))  +  ISNUMBER(SEARCH("77 31",'power-on'!B237,1)),1,0)</f>
        <v>0</v>
      </c>
    </row>
    <row r="239" spans="2:22" x14ac:dyDescent="0.25">
      <c r="B239" s="1"/>
      <c r="V239">
        <f>IF(    ISNUMBER(SEARCH("10 30",'power-on'!B238,1))  +  ISNUMBER(SEARCH("10 31",'power-on'!B238,1))  +  ISNUMBER(SEARCH("70 30",'power-on'!B238,1))  +  ISNUMBER(SEARCH("70 31",'power-on'!B238,1))  +  ISNUMBER(SEARCH("77 30",'power-on'!B238,1))  +  ISNUMBER(SEARCH("77 31",'power-on'!B238,1)),1,0)</f>
        <v>0</v>
      </c>
    </row>
    <row r="240" spans="2:22" x14ac:dyDescent="0.25">
      <c r="B240" s="1"/>
      <c r="V240">
        <f>IF(    ISNUMBER(SEARCH("10 30",'power-on'!B239,1))  +  ISNUMBER(SEARCH("10 31",'power-on'!B239,1))  +  ISNUMBER(SEARCH("70 30",'power-on'!B239,1))  +  ISNUMBER(SEARCH("70 31",'power-on'!B239,1))  +  ISNUMBER(SEARCH("77 30",'power-on'!B239,1))  +  ISNUMBER(SEARCH("77 31",'power-on'!B239,1)),1,0)</f>
        <v>0</v>
      </c>
    </row>
    <row r="241" spans="2:22" x14ac:dyDescent="0.25">
      <c r="B241" s="1"/>
      <c r="V241">
        <f>IF(    ISNUMBER(SEARCH("10 30",'power-on'!B240,1))  +  ISNUMBER(SEARCH("10 31",'power-on'!B240,1))  +  ISNUMBER(SEARCH("70 30",'power-on'!B240,1))  +  ISNUMBER(SEARCH("70 31",'power-on'!B240,1))  +  ISNUMBER(SEARCH("77 30",'power-on'!B240,1))  +  ISNUMBER(SEARCH("77 31",'power-on'!B240,1)),1,0)</f>
        <v>0</v>
      </c>
    </row>
    <row r="242" spans="2:22" x14ac:dyDescent="0.25">
      <c r="B242" s="1"/>
      <c r="V242">
        <f>IF(    ISNUMBER(SEARCH("10 30",'power-on'!B241,1))  +  ISNUMBER(SEARCH("10 31",'power-on'!B241,1))  +  ISNUMBER(SEARCH("70 30",'power-on'!B241,1))  +  ISNUMBER(SEARCH("70 31",'power-on'!B241,1))  +  ISNUMBER(SEARCH("77 30",'power-on'!B241,1))  +  ISNUMBER(SEARCH("77 31",'power-on'!B241,1)),1,0)</f>
        <v>0</v>
      </c>
    </row>
    <row r="243" spans="2:22" x14ac:dyDescent="0.25">
      <c r="B243" s="1"/>
      <c r="V243">
        <f>IF(    ISNUMBER(SEARCH("10 30",'power-on'!B242,1))  +  ISNUMBER(SEARCH("10 31",'power-on'!B242,1))  +  ISNUMBER(SEARCH("70 30",'power-on'!B242,1))  +  ISNUMBER(SEARCH("70 31",'power-on'!B242,1))  +  ISNUMBER(SEARCH("77 30",'power-on'!B242,1))  +  ISNUMBER(SEARCH("77 31",'power-on'!B242,1)),1,0)</f>
        <v>0</v>
      </c>
    </row>
    <row r="244" spans="2:22" x14ac:dyDescent="0.25">
      <c r="B244" s="1"/>
      <c r="V244">
        <f>IF(    ISNUMBER(SEARCH("10 30",'power-on'!B243,1))  +  ISNUMBER(SEARCH("10 31",'power-on'!B243,1))  +  ISNUMBER(SEARCH("70 30",'power-on'!B243,1))  +  ISNUMBER(SEARCH("70 31",'power-on'!B243,1))  +  ISNUMBER(SEARCH("77 30",'power-on'!B243,1))  +  ISNUMBER(SEARCH("77 31",'power-on'!B243,1)),1,0)</f>
        <v>0</v>
      </c>
    </row>
    <row r="245" spans="2:22" x14ac:dyDescent="0.25">
      <c r="B245" s="1"/>
      <c r="V245">
        <f>IF(    ISNUMBER(SEARCH("10 30",'power-on'!B244,1))  +  ISNUMBER(SEARCH("10 31",'power-on'!B244,1))  +  ISNUMBER(SEARCH("70 30",'power-on'!B244,1))  +  ISNUMBER(SEARCH("70 31",'power-on'!B244,1))  +  ISNUMBER(SEARCH("77 30",'power-on'!B244,1))  +  ISNUMBER(SEARCH("77 31",'power-on'!B244,1)),1,0)</f>
        <v>0</v>
      </c>
    </row>
    <row r="246" spans="2:22" x14ac:dyDescent="0.25">
      <c r="B246" s="1"/>
      <c r="V246">
        <f>IF(    ISNUMBER(SEARCH("10 30",'power-on'!B245,1))  +  ISNUMBER(SEARCH("10 31",'power-on'!B245,1))  +  ISNUMBER(SEARCH("70 30",'power-on'!B245,1))  +  ISNUMBER(SEARCH("70 31",'power-on'!B245,1))  +  ISNUMBER(SEARCH("77 30",'power-on'!B245,1))  +  ISNUMBER(SEARCH("77 31",'power-on'!B245,1)),1,0)</f>
        <v>0</v>
      </c>
    </row>
    <row r="247" spans="2:22" x14ac:dyDescent="0.25">
      <c r="B247" s="1"/>
      <c r="V247">
        <f>IF(    ISNUMBER(SEARCH("10 30",'power-on'!B246,1))  +  ISNUMBER(SEARCH("10 31",'power-on'!B246,1))  +  ISNUMBER(SEARCH("70 30",'power-on'!B246,1))  +  ISNUMBER(SEARCH("70 31",'power-on'!B246,1))  +  ISNUMBER(SEARCH("77 30",'power-on'!B246,1))  +  ISNUMBER(SEARCH("77 31",'power-on'!B246,1)),1,0)</f>
        <v>0</v>
      </c>
    </row>
    <row r="248" spans="2:22" x14ac:dyDescent="0.25">
      <c r="B248" s="1"/>
      <c r="V248">
        <f>IF(    ISNUMBER(SEARCH("10 30",'power-on'!B247,1))  +  ISNUMBER(SEARCH("10 31",'power-on'!B247,1))  +  ISNUMBER(SEARCH("70 30",'power-on'!B247,1))  +  ISNUMBER(SEARCH("70 31",'power-on'!B247,1))  +  ISNUMBER(SEARCH("77 30",'power-on'!B247,1))  +  ISNUMBER(SEARCH("77 31",'power-on'!B247,1)),1,0)</f>
        <v>0</v>
      </c>
    </row>
    <row r="249" spans="2:22" x14ac:dyDescent="0.25">
      <c r="B249" s="1"/>
      <c r="V249">
        <f>IF(    ISNUMBER(SEARCH("10 30",'power-on'!B248,1))  +  ISNUMBER(SEARCH("10 31",'power-on'!B248,1))  +  ISNUMBER(SEARCH("70 30",'power-on'!B248,1))  +  ISNUMBER(SEARCH("70 31",'power-on'!B248,1))  +  ISNUMBER(SEARCH("77 30",'power-on'!B248,1))  +  ISNUMBER(SEARCH("77 31",'power-on'!B248,1)),1,0)</f>
        <v>0</v>
      </c>
    </row>
    <row r="250" spans="2:22" x14ac:dyDescent="0.25">
      <c r="B250" s="1"/>
      <c r="V250">
        <f>IF(    ISNUMBER(SEARCH("10 30",'power-on'!B249,1))  +  ISNUMBER(SEARCH("10 31",'power-on'!B249,1))  +  ISNUMBER(SEARCH("70 30",'power-on'!B249,1))  +  ISNUMBER(SEARCH("70 31",'power-on'!B249,1))  +  ISNUMBER(SEARCH("77 30",'power-on'!B249,1))  +  ISNUMBER(SEARCH("77 31",'power-on'!B249,1)),1,0)</f>
        <v>0</v>
      </c>
    </row>
    <row r="251" spans="2:22" x14ac:dyDescent="0.25">
      <c r="B251" s="1"/>
      <c r="V251">
        <f>IF(    ISNUMBER(SEARCH("10 30",'power-on'!B250,1))  +  ISNUMBER(SEARCH("10 31",'power-on'!B250,1))  +  ISNUMBER(SEARCH("70 30",'power-on'!B250,1))  +  ISNUMBER(SEARCH("70 31",'power-on'!B250,1))  +  ISNUMBER(SEARCH("77 30",'power-on'!B250,1))  +  ISNUMBER(SEARCH("77 31",'power-on'!B250,1)),1,0)</f>
        <v>0</v>
      </c>
    </row>
    <row r="252" spans="2:22" x14ac:dyDescent="0.25">
      <c r="B252" s="1"/>
      <c r="V252">
        <f>IF(    ISNUMBER(SEARCH("10 30",'power-on'!B251,1))  +  ISNUMBER(SEARCH("10 31",'power-on'!B251,1))  +  ISNUMBER(SEARCH("70 30",'power-on'!B251,1))  +  ISNUMBER(SEARCH("70 31",'power-on'!B251,1))  +  ISNUMBER(SEARCH("77 30",'power-on'!B251,1))  +  ISNUMBER(SEARCH("77 31",'power-on'!B251,1)),1,0)</f>
        <v>0</v>
      </c>
    </row>
    <row r="253" spans="2:22" x14ac:dyDescent="0.25">
      <c r="B253" s="1"/>
      <c r="V253">
        <f>IF(    ISNUMBER(SEARCH("10 30",'power-on'!B252,1))  +  ISNUMBER(SEARCH("10 31",'power-on'!B252,1))  +  ISNUMBER(SEARCH("70 30",'power-on'!B252,1))  +  ISNUMBER(SEARCH("70 31",'power-on'!B252,1))  +  ISNUMBER(SEARCH("77 30",'power-on'!B252,1))  +  ISNUMBER(SEARCH("77 31",'power-on'!B252,1)),1,0)</f>
        <v>0</v>
      </c>
    </row>
    <row r="254" spans="2:22" x14ac:dyDescent="0.25">
      <c r="B254" s="1"/>
      <c r="V254">
        <f>IF(    ISNUMBER(SEARCH("10 30",'power-on'!B253,1))  +  ISNUMBER(SEARCH("10 31",'power-on'!B253,1))  +  ISNUMBER(SEARCH("70 30",'power-on'!B253,1))  +  ISNUMBER(SEARCH("70 31",'power-on'!B253,1))  +  ISNUMBER(SEARCH("77 30",'power-on'!B253,1))  +  ISNUMBER(SEARCH("77 31",'power-on'!B253,1)),1,0)</f>
        <v>0</v>
      </c>
    </row>
    <row r="255" spans="2:22" x14ac:dyDescent="0.25">
      <c r="B255" s="1"/>
      <c r="V255">
        <f>IF(    ISNUMBER(SEARCH("10 30",'power-on'!B254,1))  +  ISNUMBER(SEARCH("10 31",'power-on'!B254,1))  +  ISNUMBER(SEARCH("70 30",'power-on'!B254,1))  +  ISNUMBER(SEARCH("70 31",'power-on'!B254,1))  +  ISNUMBER(SEARCH("77 30",'power-on'!B254,1))  +  ISNUMBER(SEARCH("77 31",'power-on'!B254,1)),1,0)</f>
        <v>0</v>
      </c>
    </row>
    <row r="256" spans="2:22" x14ac:dyDescent="0.25">
      <c r="B256" s="1"/>
      <c r="V256">
        <f>IF(    ISNUMBER(SEARCH("10 30",'power-on'!B255,1))  +  ISNUMBER(SEARCH("10 31",'power-on'!B255,1))  +  ISNUMBER(SEARCH("70 30",'power-on'!B255,1))  +  ISNUMBER(SEARCH("70 31",'power-on'!B255,1))  +  ISNUMBER(SEARCH("77 30",'power-on'!B255,1))  +  ISNUMBER(SEARCH("77 31",'power-on'!B255,1)),1,0)</f>
        <v>0</v>
      </c>
    </row>
    <row r="257" spans="2:22" x14ac:dyDescent="0.25">
      <c r="B257" s="1"/>
      <c r="V257">
        <f>IF(    ISNUMBER(SEARCH("10 30",'power-on'!B256,1))  +  ISNUMBER(SEARCH("10 31",'power-on'!B256,1))  +  ISNUMBER(SEARCH("70 30",'power-on'!B256,1))  +  ISNUMBER(SEARCH("70 31",'power-on'!B256,1))  +  ISNUMBER(SEARCH("77 30",'power-on'!B256,1))  +  ISNUMBER(SEARCH("77 31",'power-on'!B256,1)),1,0)</f>
        <v>0</v>
      </c>
    </row>
    <row r="258" spans="2:22" x14ac:dyDescent="0.25">
      <c r="B258" s="1"/>
      <c r="V258">
        <f>IF(    ISNUMBER(SEARCH("10 30",'power-on'!B257,1))  +  ISNUMBER(SEARCH("10 31",'power-on'!B257,1))  +  ISNUMBER(SEARCH("70 30",'power-on'!B257,1))  +  ISNUMBER(SEARCH("70 31",'power-on'!B257,1))  +  ISNUMBER(SEARCH("77 30",'power-on'!B257,1))  +  ISNUMBER(SEARCH("77 31",'power-on'!B257,1)),1,0)</f>
        <v>0</v>
      </c>
    </row>
    <row r="259" spans="2:22" x14ac:dyDescent="0.25">
      <c r="B259" s="1"/>
      <c r="V259">
        <f>IF(    ISNUMBER(SEARCH("10 30",'power-on'!B258,1))  +  ISNUMBER(SEARCH("10 31",'power-on'!B258,1))  +  ISNUMBER(SEARCH("70 30",'power-on'!B258,1))  +  ISNUMBER(SEARCH("70 31",'power-on'!B258,1))  +  ISNUMBER(SEARCH("77 30",'power-on'!B258,1))  +  ISNUMBER(SEARCH("77 31",'power-on'!B258,1)),1,0)</f>
        <v>0</v>
      </c>
    </row>
    <row r="260" spans="2:22" x14ac:dyDescent="0.25">
      <c r="B260" s="1"/>
      <c r="V260">
        <f>IF(    ISNUMBER(SEARCH("10 30",'power-on'!B259,1))  +  ISNUMBER(SEARCH("10 31",'power-on'!B259,1))  +  ISNUMBER(SEARCH("70 30",'power-on'!B259,1))  +  ISNUMBER(SEARCH("70 31",'power-on'!B259,1))  +  ISNUMBER(SEARCH("77 30",'power-on'!B259,1))  +  ISNUMBER(SEARCH("77 31",'power-on'!B259,1)),1,0)</f>
        <v>0</v>
      </c>
    </row>
    <row r="261" spans="2:22" x14ac:dyDescent="0.25">
      <c r="B261" s="1"/>
      <c r="V261">
        <f>IF(    ISNUMBER(SEARCH("10 30",'power-on'!B260,1))  +  ISNUMBER(SEARCH("10 31",'power-on'!B260,1))  +  ISNUMBER(SEARCH("70 30",'power-on'!B260,1))  +  ISNUMBER(SEARCH("70 31",'power-on'!B260,1))  +  ISNUMBER(SEARCH("77 30",'power-on'!B260,1))  +  ISNUMBER(SEARCH("77 31",'power-on'!B260,1)),1,0)</f>
        <v>0</v>
      </c>
    </row>
    <row r="262" spans="2:22" x14ac:dyDescent="0.25">
      <c r="B262" s="1"/>
      <c r="V262">
        <f>IF(    ISNUMBER(SEARCH("10 30",'power-on'!B261,1))  +  ISNUMBER(SEARCH("10 31",'power-on'!B261,1))  +  ISNUMBER(SEARCH("70 30",'power-on'!B261,1))  +  ISNUMBER(SEARCH("70 31",'power-on'!B261,1))  +  ISNUMBER(SEARCH("77 30",'power-on'!B261,1))  +  ISNUMBER(SEARCH("77 31",'power-on'!B261,1)),1,0)</f>
        <v>0</v>
      </c>
    </row>
    <row r="263" spans="2:22" x14ac:dyDescent="0.25">
      <c r="B263" s="1"/>
      <c r="V263">
        <f>IF(    ISNUMBER(SEARCH("10 30",'power-on'!B262,1))  +  ISNUMBER(SEARCH("10 31",'power-on'!B262,1))  +  ISNUMBER(SEARCH("70 30",'power-on'!B262,1))  +  ISNUMBER(SEARCH("70 31",'power-on'!B262,1))  +  ISNUMBER(SEARCH("77 30",'power-on'!B262,1))  +  ISNUMBER(SEARCH("77 31",'power-on'!B262,1)),1,0)</f>
        <v>0</v>
      </c>
    </row>
    <row r="264" spans="2:22" x14ac:dyDescent="0.25">
      <c r="B264" s="1"/>
      <c r="V264">
        <f>IF(    ISNUMBER(SEARCH("10 30",'power-on'!B263,1))  +  ISNUMBER(SEARCH("10 31",'power-on'!B263,1))  +  ISNUMBER(SEARCH("70 30",'power-on'!B263,1))  +  ISNUMBER(SEARCH("70 31",'power-on'!B263,1))  +  ISNUMBER(SEARCH("77 30",'power-on'!B263,1))  +  ISNUMBER(SEARCH("77 31",'power-on'!B263,1)),1,0)</f>
        <v>0</v>
      </c>
    </row>
    <row r="265" spans="2:22" x14ac:dyDescent="0.25">
      <c r="B265" s="1"/>
      <c r="V265">
        <f>IF(    ISNUMBER(SEARCH("10 30",'power-on'!B264,1))  +  ISNUMBER(SEARCH("10 31",'power-on'!B264,1))  +  ISNUMBER(SEARCH("70 30",'power-on'!B264,1))  +  ISNUMBER(SEARCH("70 31",'power-on'!B264,1))  +  ISNUMBER(SEARCH("77 30",'power-on'!B264,1))  +  ISNUMBER(SEARCH("77 31",'power-on'!B264,1)),1,0)</f>
        <v>0</v>
      </c>
    </row>
    <row r="266" spans="2:22" x14ac:dyDescent="0.25">
      <c r="B266" s="1"/>
      <c r="V266">
        <f>IF(    ISNUMBER(SEARCH("10 30",'power-on'!B265,1))  +  ISNUMBER(SEARCH("10 31",'power-on'!B265,1))  +  ISNUMBER(SEARCH("70 30",'power-on'!B265,1))  +  ISNUMBER(SEARCH("70 31",'power-on'!B265,1))  +  ISNUMBER(SEARCH("77 30",'power-on'!B265,1))  +  ISNUMBER(SEARCH("77 31",'power-on'!B265,1)),1,0)</f>
        <v>0</v>
      </c>
    </row>
    <row r="267" spans="2:22" x14ac:dyDescent="0.25">
      <c r="B267" s="1"/>
      <c r="V267">
        <f>IF(    ISNUMBER(SEARCH("10 30",'power-on'!B266,1))  +  ISNUMBER(SEARCH("10 31",'power-on'!B266,1))  +  ISNUMBER(SEARCH("70 30",'power-on'!B266,1))  +  ISNUMBER(SEARCH("70 31",'power-on'!B266,1))  +  ISNUMBER(SEARCH("77 30",'power-on'!B266,1))  +  ISNUMBER(SEARCH("77 31",'power-on'!B266,1)),1,0)</f>
        <v>0</v>
      </c>
    </row>
    <row r="268" spans="2:22" x14ac:dyDescent="0.25">
      <c r="B268" s="1"/>
      <c r="V268">
        <f>IF(    ISNUMBER(SEARCH("10 30",'power-on'!B267,1))  +  ISNUMBER(SEARCH("10 31",'power-on'!B267,1))  +  ISNUMBER(SEARCH("70 30",'power-on'!B267,1))  +  ISNUMBER(SEARCH("70 31",'power-on'!B267,1))  +  ISNUMBER(SEARCH("77 30",'power-on'!B267,1))  +  ISNUMBER(SEARCH("77 31",'power-on'!B267,1)),1,0)</f>
        <v>0</v>
      </c>
    </row>
    <row r="269" spans="2:22" x14ac:dyDescent="0.25">
      <c r="B269" s="1"/>
      <c r="V269">
        <f>IF(    ISNUMBER(SEARCH("10 30",'power-on'!B268,1))  +  ISNUMBER(SEARCH("10 31",'power-on'!B268,1))  +  ISNUMBER(SEARCH("70 30",'power-on'!B268,1))  +  ISNUMBER(SEARCH("70 31",'power-on'!B268,1))  +  ISNUMBER(SEARCH("77 30",'power-on'!B268,1))  +  ISNUMBER(SEARCH("77 31",'power-on'!B268,1)),1,0)</f>
        <v>0</v>
      </c>
    </row>
    <row r="270" spans="2:22" x14ac:dyDescent="0.25">
      <c r="B270" s="1"/>
      <c r="V270">
        <f>IF(    ISNUMBER(SEARCH("10 30",'power-on'!B269,1))  +  ISNUMBER(SEARCH("10 31",'power-on'!B269,1))  +  ISNUMBER(SEARCH("70 30",'power-on'!B269,1))  +  ISNUMBER(SEARCH("70 31",'power-on'!B269,1))  +  ISNUMBER(SEARCH("77 30",'power-on'!B269,1))  +  ISNUMBER(SEARCH("77 31",'power-on'!B269,1)),1,0)</f>
        <v>0</v>
      </c>
    </row>
    <row r="271" spans="2:22" x14ac:dyDescent="0.25">
      <c r="B271" s="1"/>
      <c r="V271">
        <f>IF(    ISNUMBER(SEARCH("10 30",'power-on'!B270,1))  +  ISNUMBER(SEARCH("10 31",'power-on'!B270,1))  +  ISNUMBER(SEARCH("70 30",'power-on'!B270,1))  +  ISNUMBER(SEARCH("70 31",'power-on'!B270,1))  +  ISNUMBER(SEARCH("77 30",'power-on'!B270,1))  +  ISNUMBER(SEARCH("77 31",'power-on'!B270,1)),1,0)</f>
        <v>0</v>
      </c>
    </row>
    <row r="272" spans="2:22" x14ac:dyDescent="0.25">
      <c r="B272" s="1"/>
      <c r="V272">
        <f>IF(    ISNUMBER(SEARCH("10 30",'power-on'!B271,1))  +  ISNUMBER(SEARCH("10 31",'power-on'!B271,1))  +  ISNUMBER(SEARCH("70 30",'power-on'!B271,1))  +  ISNUMBER(SEARCH("70 31",'power-on'!B271,1))  +  ISNUMBER(SEARCH("77 30",'power-on'!B271,1))  +  ISNUMBER(SEARCH("77 31",'power-on'!B271,1)),1,0)</f>
        <v>0</v>
      </c>
    </row>
    <row r="273" spans="2:22" x14ac:dyDescent="0.25">
      <c r="B273" s="1"/>
      <c r="V273">
        <f>IF(    ISNUMBER(SEARCH("10 30",'power-on'!B272,1))  +  ISNUMBER(SEARCH("10 31",'power-on'!B272,1))  +  ISNUMBER(SEARCH("70 30",'power-on'!B272,1))  +  ISNUMBER(SEARCH("70 31",'power-on'!B272,1))  +  ISNUMBER(SEARCH("77 30",'power-on'!B272,1))  +  ISNUMBER(SEARCH("77 31",'power-on'!B272,1)),1,0)</f>
        <v>0</v>
      </c>
    </row>
    <row r="274" spans="2:22" x14ac:dyDescent="0.25">
      <c r="B274" s="1"/>
      <c r="V274">
        <f>IF(    ISNUMBER(SEARCH("10 30",'power-on'!B273,1))  +  ISNUMBER(SEARCH("10 31",'power-on'!B273,1))  +  ISNUMBER(SEARCH("70 30",'power-on'!B273,1))  +  ISNUMBER(SEARCH("70 31",'power-on'!B273,1))  +  ISNUMBER(SEARCH("77 30",'power-on'!B273,1))  +  ISNUMBER(SEARCH("77 31",'power-on'!B273,1)),1,0)</f>
        <v>0</v>
      </c>
    </row>
    <row r="275" spans="2:22" x14ac:dyDescent="0.25">
      <c r="B275" s="1"/>
      <c r="V275">
        <f>IF(    ISNUMBER(SEARCH("10 30",'power-on'!B274,1))  +  ISNUMBER(SEARCH("10 31",'power-on'!B274,1))  +  ISNUMBER(SEARCH("70 30",'power-on'!B274,1))  +  ISNUMBER(SEARCH("70 31",'power-on'!B274,1))  +  ISNUMBER(SEARCH("77 30",'power-on'!B274,1))  +  ISNUMBER(SEARCH("77 31",'power-on'!B274,1)),1,0)</f>
        <v>0</v>
      </c>
    </row>
    <row r="276" spans="2:22" x14ac:dyDescent="0.25">
      <c r="B276" s="1"/>
      <c r="V276">
        <f>IF(    ISNUMBER(SEARCH("10 30",'power-on'!B275,1))  +  ISNUMBER(SEARCH("10 31",'power-on'!B275,1))  +  ISNUMBER(SEARCH("70 30",'power-on'!B275,1))  +  ISNUMBER(SEARCH("70 31",'power-on'!B275,1))  +  ISNUMBER(SEARCH("77 30",'power-on'!B275,1))  +  ISNUMBER(SEARCH("77 31",'power-on'!B275,1)),1,0)</f>
        <v>0</v>
      </c>
    </row>
    <row r="277" spans="2:22" x14ac:dyDescent="0.25">
      <c r="B277" s="1"/>
      <c r="V277">
        <f>IF(    ISNUMBER(SEARCH("10 30",'power-on'!B276,1))  +  ISNUMBER(SEARCH("10 31",'power-on'!B276,1))  +  ISNUMBER(SEARCH("70 30",'power-on'!B276,1))  +  ISNUMBER(SEARCH("70 31",'power-on'!B276,1))  +  ISNUMBER(SEARCH("77 30",'power-on'!B276,1))  +  ISNUMBER(SEARCH("77 31",'power-on'!B276,1)),1,0)</f>
        <v>0</v>
      </c>
    </row>
    <row r="278" spans="2:22" x14ac:dyDescent="0.25">
      <c r="B278" s="1"/>
      <c r="V278">
        <f>IF(    ISNUMBER(SEARCH("10 30",'power-on'!B277,1))  +  ISNUMBER(SEARCH("10 31",'power-on'!B277,1))  +  ISNUMBER(SEARCH("70 30",'power-on'!B277,1))  +  ISNUMBER(SEARCH("70 31",'power-on'!B277,1))  +  ISNUMBER(SEARCH("77 30",'power-on'!B277,1))  +  ISNUMBER(SEARCH("77 31",'power-on'!B277,1)),1,0)</f>
        <v>0</v>
      </c>
    </row>
    <row r="279" spans="2:22" x14ac:dyDescent="0.25">
      <c r="B279" s="1"/>
      <c r="V279">
        <f>IF(    ISNUMBER(SEARCH("10 30",'power-on'!B278,1))  +  ISNUMBER(SEARCH("10 31",'power-on'!B278,1))  +  ISNUMBER(SEARCH("70 30",'power-on'!B278,1))  +  ISNUMBER(SEARCH("70 31",'power-on'!B278,1))  +  ISNUMBER(SEARCH("77 30",'power-on'!B278,1))  +  ISNUMBER(SEARCH("77 31",'power-on'!B278,1)),1,0)</f>
        <v>0</v>
      </c>
    </row>
    <row r="280" spans="2:22" x14ac:dyDescent="0.25">
      <c r="B280" s="1"/>
      <c r="V280">
        <f>IF(    ISNUMBER(SEARCH("10 30",'power-on'!B279,1))  +  ISNUMBER(SEARCH("10 31",'power-on'!B279,1))  +  ISNUMBER(SEARCH("70 30",'power-on'!B279,1))  +  ISNUMBER(SEARCH("70 31",'power-on'!B279,1))  +  ISNUMBER(SEARCH("77 30",'power-on'!B279,1))  +  ISNUMBER(SEARCH("77 31",'power-on'!B279,1)),1,0)</f>
        <v>0</v>
      </c>
    </row>
    <row r="281" spans="2:22" x14ac:dyDescent="0.25">
      <c r="B281" s="1"/>
      <c r="V281">
        <f>IF(    ISNUMBER(SEARCH("10 30",'power-on'!B280,1))  +  ISNUMBER(SEARCH("10 31",'power-on'!B280,1))  +  ISNUMBER(SEARCH("70 30",'power-on'!B280,1))  +  ISNUMBER(SEARCH("70 31",'power-on'!B280,1))  +  ISNUMBER(SEARCH("77 30",'power-on'!B280,1))  +  ISNUMBER(SEARCH("77 31",'power-on'!B280,1)),1,0)</f>
        <v>0</v>
      </c>
    </row>
    <row r="282" spans="2:22" x14ac:dyDescent="0.25">
      <c r="B282" s="1"/>
      <c r="V282">
        <f>IF(    ISNUMBER(SEARCH("10 30",'power-on'!B281,1))  +  ISNUMBER(SEARCH("10 31",'power-on'!B281,1))  +  ISNUMBER(SEARCH("70 30",'power-on'!B281,1))  +  ISNUMBER(SEARCH("70 31",'power-on'!B281,1))  +  ISNUMBER(SEARCH("77 30",'power-on'!B281,1))  +  ISNUMBER(SEARCH("77 31",'power-on'!B281,1)),1,0)</f>
        <v>0</v>
      </c>
    </row>
    <row r="283" spans="2:22" x14ac:dyDescent="0.25">
      <c r="B283" s="1"/>
      <c r="V283">
        <f>IF(    ISNUMBER(SEARCH("10 30",'power-on'!B282,1))  +  ISNUMBER(SEARCH("10 31",'power-on'!B282,1))  +  ISNUMBER(SEARCH("70 30",'power-on'!B282,1))  +  ISNUMBER(SEARCH("70 31",'power-on'!B282,1))  +  ISNUMBER(SEARCH("77 30",'power-on'!B282,1))  +  ISNUMBER(SEARCH("77 31",'power-on'!B282,1)),1,0)</f>
        <v>0</v>
      </c>
    </row>
    <row r="284" spans="2:22" x14ac:dyDescent="0.25">
      <c r="B284" s="1"/>
      <c r="V284">
        <f>IF(    ISNUMBER(SEARCH("10 30",'power-on'!B283,1))  +  ISNUMBER(SEARCH("10 31",'power-on'!B283,1))  +  ISNUMBER(SEARCH("70 30",'power-on'!B283,1))  +  ISNUMBER(SEARCH("70 31",'power-on'!B283,1))  +  ISNUMBER(SEARCH("77 30",'power-on'!B283,1))  +  ISNUMBER(SEARCH("77 31",'power-on'!B283,1)),1,0)</f>
        <v>0</v>
      </c>
    </row>
    <row r="285" spans="2:22" x14ac:dyDescent="0.25">
      <c r="B285" s="1"/>
      <c r="V285">
        <f>IF(    ISNUMBER(SEARCH("10 30",'power-on'!B284,1))  +  ISNUMBER(SEARCH("10 31",'power-on'!B284,1))  +  ISNUMBER(SEARCH("70 30",'power-on'!B284,1))  +  ISNUMBER(SEARCH("70 31",'power-on'!B284,1))  +  ISNUMBER(SEARCH("77 30",'power-on'!B284,1))  +  ISNUMBER(SEARCH("77 31",'power-on'!B284,1)),1,0)</f>
        <v>0</v>
      </c>
    </row>
    <row r="286" spans="2:22" x14ac:dyDescent="0.25">
      <c r="B286" s="1"/>
      <c r="V286">
        <f>IF(    ISNUMBER(SEARCH("10 30",'power-on'!B285,1))  +  ISNUMBER(SEARCH("10 31",'power-on'!B285,1))  +  ISNUMBER(SEARCH("70 30",'power-on'!B285,1))  +  ISNUMBER(SEARCH("70 31",'power-on'!B285,1))  +  ISNUMBER(SEARCH("77 30",'power-on'!B285,1))  +  ISNUMBER(SEARCH("77 31",'power-on'!B285,1)),1,0)</f>
        <v>0</v>
      </c>
    </row>
    <row r="287" spans="2:22" x14ac:dyDescent="0.25">
      <c r="B287" s="1"/>
      <c r="V287">
        <f>IF(    ISNUMBER(SEARCH("10 30",'power-on'!B286,1))  +  ISNUMBER(SEARCH("10 31",'power-on'!B286,1))  +  ISNUMBER(SEARCH("70 30",'power-on'!B286,1))  +  ISNUMBER(SEARCH("70 31",'power-on'!B286,1))  +  ISNUMBER(SEARCH("77 30",'power-on'!B286,1))  +  ISNUMBER(SEARCH("77 31",'power-on'!B286,1)),1,0)</f>
        <v>0</v>
      </c>
    </row>
    <row r="288" spans="2:22" x14ac:dyDescent="0.25">
      <c r="B288" s="1"/>
      <c r="V288">
        <f>IF(    ISNUMBER(SEARCH("10 30",'power-on'!B287,1))  +  ISNUMBER(SEARCH("10 31",'power-on'!B287,1))  +  ISNUMBER(SEARCH("70 30",'power-on'!B287,1))  +  ISNUMBER(SEARCH("70 31",'power-on'!B287,1))  +  ISNUMBER(SEARCH("77 30",'power-on'!B287,1))  +  ISNUMBER(SEARCH("77 31",'power-on'!B287,1)),1,0)</f>
        <v>0</v>
      </c>
    </row>
    <row r="289" spans="2:22" x14ac:dyDescent="0.25">
      <c r="B289" s="1"/>
      <c r="V289">
        <f>IF(    ISNUMBER(SEARCH("10 30",'power-on'!B288,1))  +  ISNUMBER(SEARCH("10 31",'power-on'!B288,1))  +  ISNUMBER(SEARCH("70 30",'power-on'!B288,1))  +  ISNUMBER(SEARCH("70 31",'power-on'!B288,1))  +  ISNUMBER(SEARCH("77 30",'power-on'!B288,1))  +  ISNUMBER(SEARCH("77 31",'power-on'!B288,1)),1,0)</f>
        <v>0</v>
      </c>
    </row>
    <row r="290" spans="2:22" x14ac:dyDescent="0.25">
      <c r="B290" s="1"/>
      <c r="V290">
        <f>IF(    ISNUMBER(SEARCH("10 30",'power-on'!B289,1))  +  ISNUMBER(SEARCH("10 31",'power-on'!B289,1))  +  ISNUMBER(SEARCH("70 30",'power-on'!B289,1))  +  ISNUMBER(SEARCH("70 31",'power-on'!B289,1))  +  ISNUMBER(SEARCH("77 30",'power-on'!B289,1))  +  ISNUMBER(SEARCH("77 31",'power-on'!B289,1)),1,0)</f>
        <v>0</v>
      </c>
    </row>
    <row r="291" spans="2:22" x14ac:dyDescent="0.25">
      <c r="B291" s="1"/>
      <c r="V291">
        <f>IF(    ISNUMBER(SEARCH("10 30",'power-on'!B290,1))  +  ISNUMBER(SEARCH("10 31",'power-on'!B290,1))  +  ISNUMBER(SEARCH("70 30",'power-on'!B290,1))  +  ISNUMBER(SEARCH("70 31",'power-on'!B290,1))  +  ISNUMBER(SEARCH("77 30",'power-on'!B290,1))  +  ISNUMBER(SEARCH("77 31",'power-on'!B290,1)),1,0)</f>
        <v>0</v>
      </c>
    </row>
    <row r="292" spans="2:22" x14ac:dyDescent="0.25">
      <c r="B292" s="1"/>
      <c r="V292">
        <f>IF(    ISNUMBER(SEARCH("10 30",'power-on'!B291,1))  +  ISNUMBER(SEARCH("10 31",'power-on'!B291,1))  +  ISNUMBER(SEARCH("70 30",'power-on'!B291,1))  +  ISNUMBER(SEARCH("70 31",'power-on'!B291,1))  +  ISNUMBER(SEARCH("77 30",'power-on'!B291,1))  +  ISNUMBER(SEARCH("77 31",'power-on'!B291,1)),1,0)</f>
        <v>0</v>
      </c>
    </row>
    <row r="293" spans="2:22" x14ac:dyDescent="0.25">
      <c r="B293" s="1"/>
      <c r="V293">
        <f>IF(    ISNUMBER(SEARCH("10 30",'power-on'!B292,1))  +  ISNUMBER(SEARCH("10 31",'power-on'!B292,1))  +  ISNUMBER(SEARCH("70 30",'power-on'!B292,1))  +  ISNUMBER(SEARCH("70 31",'power-on'!B292,1))  +  ISNUMBER(SEARCH("77 30",'power-on'!B292,1))  +  ISNUMBER(SEARCH("77 31",'power-on'!B292,1)),1,0)</f>
        <v>0</v>
      </c>
    </row>
    <row r="294" spans="2:22" x14ac:dyDescent="0.25">
      <c r="B294" s="1"/>
      <c r="V294">
        <f>IF(    ISNUMBER(SEARCH("10 30",'power-on'!B293,1))  +  ISNUMBER(SEARCH("10 31",'power-on'!B293,1))  +  ISNUMBER(SEARCH("70 30",'power-on'!B293,1))  +  ISNUMBER(SEARCH("70 31",'power-on'!B293,1))  +  ISNUMBER(SEARCH("77 30",'power-on'!B293,1))  +  ISNUMBER(SEARCH("77 31",'power-on'!B293,1)),1,0)</f>
        <v>0</v>
      </c>
    </row>
    <row r="295" spans="2:22" x14ac:dyDescent="0.25">
      <c r="B295" s="1"/>
      <c r="V295">
        <f>IF(    ISNUMBER(SEARCH("10 30",'power-on'!B294,1))  +  ISNUMBER(SEARCH("10 31",'power-on'!B294,1))  +  ISNUMBER(SEARCH("70 30",'power-on'!B294,1))  +  ISNUMBER(SEARCH("70 31",'power-on'!B294,1))  +  ISNUMBER(SEARCH("77 30",'power-on'!B294,1))  +  ISNUMBER(SEARCH("77 31",'power-on'!B294,1)),1,0)</f>
        <v>0</v>
      </c>
    </row>
    <row r="296" spans="2:22" x14ac:dyDescent="0.25">
      <c r="B296" s="1"/>
      <c r="V296">
        <f>IF(    ISNUMBER(SEARCH("10 30",'power-on'!B295,1))  +  ISNUMBER(SEARCH("10 31",'power-on'!B295,1))  +  ISNUMBER(SEARCH("70 30",'power-on'!B295,1))  +  ISNUMBER(SEARCH("70 31",'power-on'!B295,1))  +  ISNUMBER(SEARCH("77 30",'power-on'!B295,1))  +  ISNUMBER(SEARCH("77 31",'power-on'!B295,1)),1,0)</f>
        <v>0</v>
      </c>
    </row>
    <row r="297" spans="2:22" x14ac:dyDescent="0.25">
      <c r="B297" s="1"/>
      <c r="V297">
        <f>IF(    ISNUMBER(SEARCH("10 30",'power-on'!B296,1))  +  ISNUMBER(SEARCH("10 31",'power-on'!B296,1))  +  ISNUMBER(SEARCH("70 30",'power-on'!B296,1))  +  ISNUMBER(SEARCH("70 31",'power-on'!B296,1))  +  ISNUMBER(SEARCH("77 30",'power-on'!B296,1))  +  ISNUMBER(SEARCH("77 31",'power-on'!B296,1)),1,0)</f>
        <v>0</v>
      </c>
    </row>
    <row r="298" spans="2:22" x14ac:dyDescent="0.25">
      <c r="B298" s="1"/>
      <c r="V298">
        <f>IF(    ISNUMBER(SEARCH("10 30",'power-on'!B297,1))  +  ISNUMBER(SEARCH("10 31",'power-on'!B297,1))  +  ISNUMBER(SEARCH("70 30",'power-on'!B297,1))  +  ISNUMBER(SEARCH("70 31",'power-on'!B297,1))  +  ISNUMBER(SEARCH("77 30",'power-on'!B297,1))  +  ISNUMBER(SEARCH("77 31",'power-on'!B297,1)),1,0)</f>
        <v>0</v>
      </c>
    </row>
    <row r="299" spans="2:22" x14ac:dyDescent="0.25">
      <c r="B299" s="1"/>
      <c r="V299">
        <f>IF(    ISNUMBER(SEARCH("10 30",'power-on'!B298,1))  +  ISNUMBER(SEARCH("10 31",'power-on'!B298,1))  +  ISNUMBER(SEARCH("70 30",'power-on'!B298,1))  +  ISNUMBER(SEARCH("70 31",'power-on'!B298,1))  +  ISNUMBER(SEARCH("77 30",'power-on'!B298,1))  +  ISNUMBER(SEARCH("77 31",'power-on'!B298,1)),1,0)</f>
        <v>0</v>
      </c>
    </row>
    <row r="300" spans="2:22" x14ac:dyDescent="0.25">
      <c r="B300" s="1"/>
      <c r="V300">
        <f>IF(    ISNUMBER(SEARCH("10 30",'power-on'!B299,1))  +  ISNUMBER(SEARCH("10 31",'power-on'!B299,1))  +  ISNUMBER(SEARCH("70 30",'power-on'!B299,1))  +  ISNUMBER(SEARCH("70 31",'power-on'!B299,1))  +  ISNUMBER(SEARCH("77 30",'power-on'!B299,1))  +  ISNUMBER(SEARCH("77 31",'power-on'!B299,1)),1,0)</f>
        <v>0</v>
      </c>
    </row>
    <row r="301" spans="2:22" x14ac:dyDescent="0.25">
      <c r="B301" s="1"/>
      <c r="V301">
        <f>IF(    ISNUMBER(SEARCH("10 30",'power-on'!B300,1))  +  ISNUMBER(SEARCH("10 31",'power-on'!B300,1))  +  ISNUMBER(SEARCH("70 30",'power-on'!B300,1))  +  ISNUMBER(SEARCH("70 31",'power-on'!B300,1))  +  ISNUMBER(SEARCH("77 30",'power-on'!B300,1))  +  ISNUMBER(SEARCH("77 31",'power-on'!B300,1)),1,0)</f>
        <v>0</v>
      </c>
    </row>
    <row r="302" spans="2:22" x14ac:dyDescent="0.25">
      <c r="B302" s="1"/>
      <c r="V302">
        <f>IF(    ISNUMBER(SEARCH("10 30",'power-on'!B301,1))  +  ISNUMBER(SEARCH("10 31",'power-on'!B301,1))  +  ISNUMBER(SEARCH("70 30",'power-on'!B301,1))  +  ISNUMBER(SEARCH("70 31",'power-on'!B301,1))  +  ISNUMBER(SEARCH("77 30",'power-on'!B301,1))  +  ISNUMBER(SEARCH("77 31",'power-on'!B301,1)),1,0)</f>
        <v>0</v>
      </c>
    </row>
    <row r="303" spans="2:22" x14ac:dyDescent="0.25">
      <c r="B303" s="1"/>
      <c r="V303">
        <f>IF(    ISNUMBER(SEARCH("10 30",'power-on'!B302,1))  +  ISNUMBER(SEARCH("10 31",'power-on'!B302,1))  +  ISNUMBER(SEARCH("70 30",'power-on'!B302,1))  +  ISNUMBER(SEARCH("70 31",'power-on'!B302,1))  +  ISNUMBER(SEARCH("77 30",'power-on'!B302,1))  +  ISNUMBER(SEARCH("77 31",'power-on'!B302,1)),1,0)</f>
        <v>0</v>
      </c>
    </row>
    <row r="304" spans="2:22" x14ac:dyDescent="0.25">
      <c r="B304" s="1"/>
      <c r="V304">
        <f>IF(    ISNUMBER(SEARCH("10 30",'power-on'!B303,1))  +  ISNUMBER(SEARCH("10 31",'power-on'!B303,1))  +  ISNUMBER(SEARCH("70 30",'power-on'!B303,1))  +  ISNUMBER(SEARCH("70 31",'power-on'!B303,1))  +  ISNUMBER(SEARCH("77 30",'power-on'!B303,1))  +  ISNUMBER(SEARCH("77 31",'power-on'!B303,1)),1,0)</f>
        <v>0</v>
      </c>
    </row>
    <row r="305" spans="2:22" x14ac:dyDescent="0.25">
      <c r="B305" s="1"/>
      <c r="V305">
        <f>IF(    ISNUMBER(SEARCH("10 30",'power-on'!B304,1))  +  ISNUMBER(SEARCH("10 31",'power-on'!B304,1))  +  ISNUMBER(SEARCH("70 30",'power-on'!B304,1))  +  ISNUMBER(SEARCH("70 31",'power-on'!B304,1))  +  ISNUMBER(SEARCH("77 30",'power-on'!B304,1))  +  ISNUMBER(SEARCH("77 31",'power-on'!B304,1)),1,0)</f>
        <v>0</v>
      </c>
    </row>
    <row r="306" spans="2:22" x14ac:dyDescent="0.25">
      <c r="B306" s="1"/>
      <c r="V306">
        <f>IF(    ISNUMBER(SEARCH("10 30",'power-on'!B305,1))  +  ISNUMBER(SEARCH("10 31",'power-on'!B305,1))  +  ISNUMBER(SEARCH("70 30",'power-on'!B305,1))  +  ISNUMBER(SEARCH("70 31",'power-on'!B305,1))  +  ISNUMBER(SEARCH("77 30",'power-on'!B305,1))  +  ISNUMBER(SEARCH("77 31",'power-on'!B305,1)),1,0)</f>
        <v>0</v>
      </c>
    </row>
    <row r="307" spans="2:22" x14ac:dyDescent="0.25">
      <c r="B307" s="1"/>
      <c r="V307">
        <f>IF(    ISNUMBER(SEARCH("10 30",'power-on'!B306,1))  +  ISNUMBER(SEARCH("10 31",'power-on'!B306,1))  +  ISNUMBER(SEARCH("70 30",'power-on'!B306,1))  +  ISNUMBER(SEARCH("70 31",'power-on'!B306,1))  +  ISNUMBER(SEARCH("77 30",'power-on'!B306,1))  +  ISNUMBER(SEARCH("77 31",'power-on'!B306,1)),1,0)</f>
        <v>0</v>
      </c>
    </row>
    <row r="308" spans="2:22" x14ac:dyDescent="0.25">
      <c r="B308" s="1"/>
      <c r="V308">
        <f>IF(    ISNUMBER(SEARCH("10 30",'power-on'!B307,1))  +  ISNUMBER(SEARCH("10 31",'power-on'!B307,1))  +  ISNUMBER(SEARCH("70 30",'power-on'!B307,1))  +  ISNUMBER(SEARCH("70 31",'power-on'!B307,1))  +  ISNUMBER(SEARCH("77 30",'power-on'!B307,1))  +  ISNUMBER(SEARCH("77 31",'power-on'!B307,1)),1,0)</f>
        <v>0</v>
      </c>
    </row>
    <row r="309" spans="2:22" x14ac:dyDescent="0.25">
      <c r="B309" s="1"/>
      <c r="V309">
        <f>IF(    ISNUMBER(SEARCH("10 30",'power-on'!B308,1))  +  ISNUMBER(SEARCH("10 31",'power-on'!B308,1))  +  ISNUMBER(SEARCH("70 30",'power-on'!B308,1))  +  ISNUMBER(SEARCH("70 31",'power-on'!B308,1))  +  ISNUMBER(SEARCH("77 30",'power-on'!B308,1))  +  ISNUMBER(SEARCH("77 31",'power-on'!B308,1)),1,0)</f>
        <v>0</v>
      </c>
    </row>
    <row r="310" spans="2:22" x14ac:dyDescent="0.25">
      <c r="B310" s="1"/>
      <c r="V310">
        <f>IF(    ISNUMBER(SEARCH("10 30",'power-on'!B309,1))  +  ISNUMBER(SEARCH("10 31",'power-on'!B309,1))  +  ISNUMBER(SEARCH("70 30",'power-on'!B309,1))  +  ISNUMBER(SEARCH("70 31",'power-on'!B309,1))  +  ISNUMBER(SEARCH("77 30",'power-on'!B309,1))  +  ISNUMBER(SEARCH("77 31",'power-on'!B309,1)),1,0)</f>
        <v>0</v>
      </c>
    </row>
    <row r="311" spans="2:22" x14ac:dyDescent="0.25">
      <c r="B311" s="1"/>
      <c r="V311">
        <f>IF(    ISNUMBER(SEARCH("10 30",'power-on'!B310,1))  +  ISNUMBER(SEARCH("10 31",'power-on'!B310,1))  +  ISNUMBER(SEARCH("70 30",'power-on'!B310,1))  +  ISNUMBER(SEARCH("70 31",'power-on'!B310,1))  +  ISNUMBER(SEARCH("77 30",'power-on'!B310,1))  +  ISNUMBER(SEARCH("77 31",'power-on'!B310,1)),1,0)</f>
        <v>0</v>
      </c>
    </row>
    <row r="312" spans="2:22" x14ac:dyDescent="0.25">
      <c r="B312" s="1"/>
      <c r="V312">
        <f>IF(    ISNUMBER(SEARCH("10 30",'power-on'!B311,1))  +  ISNUMBER(SEARCH("10 31",'power-on'!B311,1))  +  ISNUMBER(SEARCH("70 30",'power-on'!B311,1))  +  ISNUMBER(SEARCH("70 31",'power-on'!B311,1))  +  ISNUMBER(SEARCH("77 30",'power-on'!B311,1))  +  ISNUMBER(SEARCH("77 31",'power-on'!B311,1)),1,0)</f>
        <v>0</v>
      </c>
    </row>
    <row r="313" spans="2:22" x14ac:dyDescent="0.25">
      <c r="B313" s="1"/>
      <c r="V313">
        <f>IF(    ISNUMBER(SEARCH("10 30",'power-on'!B312,1))  +  ISNUMBER(SEARCH("10 31",'power-on'!B312,1))  +  ISNUMBER(SEARCH("70 30",'power-on'!B312,1))  +  ISNUMBER(SEARCH("70 31",'power-on'!B312,1))  +  ISNUMBER(SEARCH("77 30",'power-on'!B312,1))  +  ISNUMBER(SEARCH("77 31",'power-on'!B312,1)),1,0)</f>
        <v>0</v>
      </c>
    </row>
    <row r="314" spans="2:22" x14ac:dyDescent="0.25">
      <c r="B314" s="1"/>
      <c r="V314">
        <f>IF(    ISNUMBER(SEARCH("10 30",'power-on'!B313,1))  +  ISNUMBER(SEARCH("10 31",'power-on'!B313,1))  +  ISNUMBER(SEARCH("70 30",'power-on'!B313,1))  +  ISNUMBER(SEARCH("70 31",'power-on'!B313,1))  +  ISNUMBER(SEARCH("77 30",'power-on'!B313,1))  +  ISNUMBER(SEARCH("77 31",'power-on'!B313,1)),1,0)</f>
        <v>0</v>
      </c>
    </row>
    <row r="315" spans="2:22" x14ac:dyDescent="0.25">
      <c r="B315" s="1"/>
      <c r="V315">
        <f>IF(    ISNUMBER(SEARCH("10 30",'power-on'!B314,1))  +  ISNUMBER(SEARCH("10 31",'power-on'!B314,1))  +  ISNUMBER(SEARCH("70 30",'power-on'!B314,1))  +  ISNUMBER(SEARCH("70 31",'power-on'!B314,1))  +  ISNUMBER(SEARCH("77 30",'power-on'!B314,1))  +  ISNUMBER(SEARCH("77 31",'power-on'!B314,1)),1,0)</f>
        <v>0</v>
      </c>
    </row>
    <row r="316" spans="2:22" x14ac:dyDescent="0.25">
      <c r="B316" s="1"/>
      <c r="V316">
        <f>IF(    ISNUMBER(SEARCH("10 30",'power-on'!B315,1))  +  ISNUMBER(SEARCH("10 31",'power-on'!B315,1))  +  ISNUMBER(SEARCH("70 30",'power-on'!B315,1))  +  ISNUMBER(SEARCH("70 31",'power-on'!B315,1))  +  ISNUMBER(SEARCH("77 30",'power-on'!B315,1))  +  ISNUMBER(SEARCH("77 31",'power-on'!B315,1)),1,0)</f>
        <v>0</v>
      </c>
    </row>
    <row r="317" spans="2:22" x14ac:dyDescent="0.25">
      <c r="B317" s="1"/>
      <c r="V317">
        <f>IF(    ISNUMBER(SEARCH("10 30",'power-on'!B316,1))  +  ISNUMBER(SEARCH("10 31",'power-on'!B316,1))  +  ISNUMBER(SEARCH("70 30",'power-on'!B316,1))  +  ISNUMBER(SEARCH("70 31",'power-on'!B316,1))  +  ISNUMBER(SEARCH("77 30",'power-on'!B316,1))  +  ISNUMBER(SEARCH("77 31",'power-on'!B316,1)),1,0)</f>
        <v>0</v>
      </c>
    </row>
    <row r="318" spans="2:22" x14ac:dyDescent="0.25">
      <c r="B318" s="1"/>
      <c r="V318">
        <f>IF(    ISNUMBER(SEARCH("10 30",'power-on'!B317,1))  +  ISNUMBER(SEARCH("10 31",'power-on'!B317,1))  +  ISNUMBER(SEARCH("70 30",'power-on'!B317,1))  +  ISNUMBER(SEARCH("70 31",'power-on'!B317,1))  +  ISNUMBER(SEARCH("77 30",'power-on'!B317,1))  +  ISNUMBER(SEARCH("77 31",'power-on'!B317,1)),1,0)</f>
        <v>0</v>
      </c>
    </row>
    <row r="319" spans="2:22" x14ac:dyDescent="0.25">
      <c r="B319" s="1"/>
      <c r="V319">
        <f>IF(    ISNUMBER(SEARCH("10 30",'power-on'!B318,1))  +  ISNUMBER(SEARCH("10 31",'power-on'!B318,1))  +  ISNUMBER(SEARCH("70 30",'power-on'!B318,1))  +  ISNUMBER(SEARCH("70 31",'power-on'!B318,1))  +  ISNUMBER(SEARCH("77 30",'power-on'!B318,1))  +  ISNUMBER(SEARCH("77 31",'power-on'!B318,1)),1,0)</f>
        <v>0</v>
      </c>
    </row>
    <row r="320" spans="2:22" x14ac:dyDescent="0.25">
      <c r="B320" s="1"/>
      <c r="V320">
        <f>IF(    ISNUMBER(SEARCH("10 30",'power-on'!B319,1))  +  ISNUMBER(SEARCH("10 31",'power-on'!B319,1))  +  ISNUMBER(SEARCH("70 30",'power-on'!B319,1))  +  ISNUMBER(SEARCH("70 31",'power-on'!B319,1))  +  ISNUMBER(SEARCH("77 30",'power-on'!B319,1))  +  ISNUMBER(SEARCH("77 31",'power-on'!B319,1)),1,0)</f>
        <v>0</v>
      </c>
    </row>
    <row r="321" spans="2:22" x14ac:dyDescent="0.25">
      <c r="B321" s="1"/>
      <c r="V321">
        <f>IF(    ISNUMBER(SEARCH("10 30",'power-on'!B320,1))  +  ISNUMBER(SEARCH("10 31",'power-on'!B320,1))  +  ISNUMBER(SEARCH("70 30",'power-on'!B320,1))  +  ISNUMBER(SEARCH("70 31",'power-on'!B320,1))  +  ISNUMBER(SEARCH("77 30",'power-on'!B320,1))  +  ISNUMBER(SEARCH("77 31",'power-on'!B320,1)),1,0)</f>
        <v>0</v>
      </c>
    </row>
    <row r="322" spans="2:22" x14ac:dyDescent="0.25">
      <c r="B322" s="1"/>
      <c r="V322">
        <f>IF(    ISNUMBER(SEARCH("10 30",'power-on'!B321,1))  +  ISNUMBER(SEARCH("10 31",'power-on'!B321,1))  +  ISNUMBER(SEARCH("70 30",'power-on'!B321,1))  +  ISNUMBER(SEARCH("70 31",'power-on'!B321,1))  +  ISNUMBER(SEARCH("77 30",'power-on'!B321,1))  +  ISNUMBER(SEARCH("77 31",'power-on'!B321,1)),1,0)</f>
        <v>0</v>
      </c>
    </row>
    <row r="323" spans="2:22" x14ac:dyDescent="0.25">
      <c r="B323" s="1"/>
      <c r="V323">
        <f>IF(    ISNUMBER(SEARCH("10 30",'power-on'!B322,1))  +  ISNUMBER(SEARCH("10 31",'power-on'!B322,1))  +  ISNUMBER(SEARCH("70 30",'power-on'!B322,1))  +  ISNUMBER(SEARCH("70 31",'power-on'!B322,1))  +  ISNUMBER(SEARCH("77 30",'power-on'!B322,1))  +  ISNUMBER(SEARCH("77 31",'power-on'!B322,1)),1,0)</f>
        <v>0</v>
      </c>
    </row>
    <row r="324" spans="2:22" x14ac:dyDescent="0.25">
      <c r="B324" s="1"/>
      <c r="V324">
        <f>IF(    ISNUMBER(SEARCH("10 30",'power-on'!B323,1))  +  ISNUMBER(SEARCH("10 31",'power-on'!B323,1))  +  ISNUMBER(SEARCH("70 30",'power-on'!B323,1))  +  ISNUMBER(SEARCH("70 31",'power-on'!B323,1))  +  ISNUMBER(SEARCH("77 30",'power-on'!B323,1))  +  ISNUMBER(SEARCH("77 31",'power-on'!B323,1)),1,0)</f>
        <v>0</v>
      </c>
    </row>
    <row r="325" spans="2:22" x14ac:dyDescent="0.25">
      <c r="B325" s="1"/>
      <c r="V325">
        <f>IF(    ISNUMBER(SEARCH("10 30",'power-on'!B324,1))  +  ISNUMBER(SEARCH("10 31",'power-on'!B324,1))  +  ISNUMBER(SEARCH("70 30",'power-on'!B324,1))  +  ISNUMBER(SEARCH("70 31",'power-on'!B324,1))  +  ISNUMBER(SEARCH("77 30",'power-on'!B324,1))  +  ISNUMBER(SEARCH("77 31",'power-on'!B324,1)),1,0)</f>
        <v>0</v>
      </c>
    </row>
    <row r="326" spans="2:22" x14ac:dyDescent="0.25">
      <c r="B326" s="1"/>
      <c r="V326">
        <f>IF(    ISNUMBER(SEARCH("10 30",'power-on'!B325,1))  +  ISNUMBER(SEARCH("10 31",'power-on'!B325,1))  +  ISNUMBER(SEARCH("70 30",'power-on'!B325,1))  +  ISNUMBER(SEARCH("70 31",'power-on'!B325,1))  +  ISNUMBER(SEARCH("77 30",'power-on'!B325,1))  +  ISNUMBER(SEARCH("77 31",'power-on'!B325,1)),1,0)</f>
        <v>0</v>
      </c>
    </row>
    <row r="327" spans="2:22" x14ac:dyDescent="0.25">
      <c r="B327" s="1"/>
      <c r="V327">
        <f>IF(    ISNUMBER(SEARCH("10 30",'power-on'!B326,1))  +  ISNUMBER(SEARCH("10 31",'power-on'!B326,1))  +  ISNUMBER(SEARCH("70 30",'power-on'!B326,1))  +  ISNUMBER(SEARCH("70 31",'power-on'!B326,1))  +  ISNUMBER(SEARCH("77 30",'power-on'!B326,1))  +  ISNUMBER(SEARCH("77 31",'power-on'!B326,1)),1,0)</f>
        <v>0</v>
      </c>
    </row>
    <row r="328" spans="2:22" x14ac:dyDescent="0.25">
      <c r="B328" s="1"/>
      <c r="V328">
        <f>IF(    ISNUMBER(SEARCH("10 30",'power-on'!B327,1))  +  ISNUMBER(SEARCH("10 31",'power-on'!B327,1))  +  ISNUMBER(SEARCH("70 30",'power-on'!B327,1))  +  ISNUMBER(SEARCH("70 31",'power-on'!B327,1))  +  ISNUMBER(SEARCH("77 30",'power-on'!B327,1))  +  ISNUMBER(SEARCH("77 31",'power-on'!B327,1)),1,0)</f>
        <v>0</v>
      </c>
    </row>
    <row r="329" spans="2:22" x14ac:dyDescent="0.25">
      <c r="B329" s="1"/>
      <c r="V329">
        <f>IF(    ISNUMBER(SEARCH("10 30",'power-on'!B328,1))  +  ISNUMBER(SEARCH("10 31",'power-on'!B328,1))  +  ISNUMBER(SEARCH("70 30",'power-on'!B328,1))  +  ISNUMBER(SEARCH("70 31",'power-on'!B328,1))  +  ISNUMBER(SEARCH("77 30",'power-on'!B328,1))  +  ISNUMBER(SEARCH("77 31",'power-on'!B328,1)),1,0)</f>
        <v>0</v>
      </c>
    </row>
    <row r="330" spans="2:22" x14ac:dyDescent="0.25">
      <c r="B330" s="1"/>
      <c r="V330">
        <f>IF(    ISNUMBER(SEARCH("10 30",'power-on'!B329,1))  +  ISNUMBER(SEARCH("10 31",'power-on'!B329,1))  +  ISNUMBER(SEARCH("70 30",'power-on'!B329,1))  +  ISNUMBER(SEARCH("70 31",'power-on'!B329,1))  +  ISNUMBER(SEARCH("77 30",'power-on'!B329,1))  +  ISNUMBER(SEARCH("77 31",'power-on'!B329,1)),1,0)</f>
        <v>0</v>
      </c>
    </row>
    <row r="331" spans="2:22" x14ac:dyDescent="0.25">
      <c r="B331" s="1"/>
      <c r="V331">
        <f>IF(    ISNUMBER(SEARCH("10 30",'power-on'!B330,1))  +  ISNUMBER(SEARCH("10 31",'power-on'!B330,1))  +  ISNUMBER(SEARCH("70 30",'power-on'!B330,1))  +  ISNUMBER(SEARCH("70 31",'power-on'!B330,1))  +  ISNUMBER(SEARCH("77 30",'power-on'!B330,1))  +  ISNUMBER(SEARCH("77 31",'power-on'!B330,1)),1,0)</f>
        <v>0</v>
      </c>
    </row>
    <row r="332" spans="2:22" x14ac:dyDescent="0.25">
      <c r="B332" s="1"/>
      <c r="V332">
        <f>IF(    ISNUMBER(SEARCH("10 30",'power-on'!B331,1))  +  ISNUMBER(SEARCH("10 31",'power-on'!B331,1))  +  ISNUMBER(SEARCH("70 30",'power-on'!B331,1))  +  ISNUMBER(SEARCH("70 31",'power-on'!B331,1))  +  ISNUMBER(SEARCH("77 30",'power-on'!B331,1))  +  ISNUMBER(SEARCH("77 31",'power-on'!B331,1)),1,0)</f>
        <v>0</v>
      </c>
    </row>
    <row r="333" spans="2:22" x14ac:dyDescent="0.25">
      <c r="B333" s="1"/>
      <c r="V333">
        <f>IF(    ISNUMBER(SEARCH("10 30",'power-on'!B332,1))  +  ISNUMBER(SEARCH("10 31",'power-on'!B332,1))  +  ISNUMBER(SEARCH("70 30",'power-on'!B332,1))  +  ISNUMBER(SEARCH("70 31",'power-on'!B332,1))  +  ISNUMBER(SEARCH("77 30",'power-on'!B332,1))  +  ISNUMBER(SEARCH("77 31",'power-on'!B332,1)),1,0)</f>
        <v>0</v>
      </c>
    </row>
    <row r="334" spans="2:22" x14ac:dyDescent="0.25">
      <c r="B334" s="1"/>
      <c r="V334">
        <f>IF(    ISNUMBER(SEARCH("10 30",'power-on'!B333,1))  +  ISNUMBER(SEARCH("10 31",'power-on'!B333,1))  +  ISNUMBER(SEARCH("70 30",'power-on'!B333,1))  +  ISNUMBER(SEARCH("70 31",'power-on'!B333,1))  +  ISNUMBER(SEARCH("77 30",'power-on'!B333,1))  +  ISNUMBER(SEARCH("77 31",'power-on'!B333,1)),1,0)</f>
        <v>0</v>
      </c>
    </row>
    <row r="335" spans="2:22" x14ac:dyDescent="0.25">
      <c r="B335" s="1"/>
      <c r="V335">
        <f>IF(    ISNUMBER(SEARCH("10 30",'power-on'!B334,1))  +  ISNUMBER(SEARCH("10 31",'power-on'!B334,1))  +  ISNUMBER(SEARCH("70 30",'power-on'!B334,1))  +  ISNUMBER(SEARCH("70 31",'power-on'!B334,1))  +  ISNUMBER(SEARCH("77 30",'power-on'!B334,1))  +  ISNUMBER(SEARCH("77 31",'power-on'!B334,1)),1,0)</f>
        <v>0</v>
      </c>
    </row>
    <row r="336" spans="2:22" x14ac:dyDescent="0.25">
      <c r="B336" s="1"/>
      <c r="V336">
        <f>IF(    ISNUMBER(SEARCH("10 30",'power-on'!B335,1))  +  ISNUMBER(SEARCH("10 31",'power-on'!B335,1))  +  ISNUMBER(SEARCH("70 30",'power-on'!B335,1))  +  ISNUMBER(SEARCH("70 31",'power-on'!B335,1))  +  ISNUMBER(SEARCH("77 30",'power-on'!B335,1))  +  ISNUMBER(SEARCH("77 31",'power-on'!B335,1)),1,0)</f>
        <v>0</v>
      </c>
    </row>
    <row r="337" spans="2:22" x14ac:dyDescent="0.25">
      <c r="B337" s="1"/>
      <c r="V337">
        <f>IF(    ISNUMBER(SEARCH("10 30",'power-on'!B336,1))  +  ISNUMBER(SEARCH("10 31",'power-on'!B336,1))  +  ISNUMBER(SEARCH("70 30",'power-on'!B336,1))  +  ISNUMBER(SEARCH("70 31",'power-on'!B336,1))  +  ISNUMBER(SEARCH("77 30",'power-on'!B336,1))  +  ISNUMBER(SEARCH("77 31",'power-on'!B336,1)),1,0)</f>
        <v>0</v>
      </c>
    </row>
    <row r="338" spans="2:22" x14ac:dyDescent="0.25">
      <c r="B338" s="1"/>
      <c r="V338">
        <f>IF(    ISNUMBER(SEARCH("10 30",'power-on'!B337,1))  +  ISNUMBER(SEARCH("10 31",'power-on'!B337,1))  +  ISNUMBER(SEARCH("70 30",'power-on'!B337,1))  +  ISNUMBER(SEARCH("70 31",'power-on'!B337,1))  +  ISNUMBER(SEARCH("77 30",'power-on'!B337,1))  +  ISNUMBER(SEARCH("77 31",'power-on'!B337,1)),1,0)</f>
        <v>0</v>
      </c>
    </row>
    <row r="339" spans="2:22" x14ac:dyDescent="0.25">
      <c r="B339" s="1"/>
      <c r="V339">
        <f>IF(    ISNUMBER(SEARCH("10 30",'power-on'!B338,1))  +  ISNUMBER(SEARCH("10 31",'power-on'!B338,1))  +  ISNUMBER(SEARCH("70 30",'power-on'!B338,1))  +  ISNUMBER(SEARCH("70 31",'power-on'!B338,1))  +  ISNUMBER(SEARCH("77 30",'power-on'!B338,1))  +  ISNUMBER(SEARCH("77 31",'power-on'!B338,1)),1,0)</f>
        <v>0</v>
      </c>
    </row>
    <row r="340" spans="2:22" x14ac:dyDescent="0.25">
      <c r="B340" s="1"/>
      <c r="V340">
        <f>IF(    ISNUMBER(SEARCH("10 30",'power-on'!B339,1))  +  ISNUMBER(SEARCH("10 31",'power-on'!B339,1))  +  ISNUMBER(SEARCH("70 30",'power-on'!B339,1))  +  ISNUMBER(SEARCH("70 31",'power-on'!B339,1))  +  ISNUMBER(SEARCH("77 30",'power-on'!B339,1))  +  ISNUMBER(SEARCH("77 31",'power-on'!B339,1)),1,0)</f>
        <v>0</v>
      </c>
    </row>
    <row r="341" spans="2:22" x14ac:dyDescent="0.25">
      <c r="B341" s="1"/>
      <c r="V341">
        <f>IF(    ISNUMBER(SEARCH("10 30",'power-on'!B340,1))  +  ISNUMBER(SEARCH("10 31",'power-on'!B340,1))  +  ISNUMBER(SEARCH("70 30",'power-on'!B340,1))  +  ISNUMBER(SEARCH("70 31",'power-on'!B340,1))  +  ISNUMBER(SEARCH("77 30",'power-on'!B340,1))  +  ISNUMBER(SEARCH("77 31",'power-on'!B340,1)),1,0)</f>
        <v>0</v>
      </c>
    </row>
    <row r="342" spans="2:22" x14ac:dyDescent="0.25">
      <c r="B342" s="1"/>
      <c r="V342">
        <f>IF(    ISNUMBER(SEARCH("10 30",'power-on'!B341,1))  +  ISNUMBER(SEARCH("10 31",'power-on'!B341,1))  +  ISNUMBER(SEARCH("70 30",'power-on'!B341,1))  +  ISNUMBER(SEARCH("70 31",'power-on'!B341,1))  +  ISNUMBER(SEARCH("77 30",'power-on'!B341,1))  +  ISNUMBER(SEARCH("77 31",'power-on'!B341,1)),1,0)</f>
        <v>0</v>
      </c>
    </row>
    <row r="343" spans="2:22" x14ac:dyDescent="0.25">
      <c r="B343" s="1"/>
      <c r="V343">
        <f>IF(    ISNUMBER(SEARCH("10 30",'power-on'!B342,1))  +  ISNUMBER(SEARCH("10 31",'power-on'!B342,1))  +  ISNUMBER(SEARCH("70 30",'power-on'!B342,1))  +  ISNUMBER(SEARCH("70 31",'power-on'!B342,1))  +  ISNUMBER(SEARCH("77 30",'power-on'!B342,1))  +  ISNUMBER(SEARCH("77 31",'power-on'!B342,1)),1,0)</f>
        <v>0</v>
      </c>
    </row>
    <row r="344" spans="2:22" x14ac:dyDescent="0.25">
      <c r="B344" s="1"/>
      <c r="V344">
        <f>IF(    ISNUMBER(SEARCH("10 30",'power-on'!B343,1))  +  ISNUMBER(SEARCH("10 31",'power-on'!B343,1))  +  ISNUMBER(SEARCH("70 30",'power-on'!B343,1))  +  ISNUMBER(SEARCH("70 31",'power-on'!B343,1))  +  ISNUMBER(SEARCH("77 30",'power-on'!B343,1))  +  ISNUMBER(SEARCH("77 31",'power-on'!B343,1)),1,0)</f>
        <v>0</v>
      </c>
    </row>
    <row r="345" spans="2:22" x14ac:dyDescent="0.25">
      <c r="B345" s="1"/>
      <c r="V345">
        <f>IF(    ISNUMBER(SEARCH("10 30",'power-on'!B344,1))  +  ISNUMBER(SEARCH("10 31",'power-on'!B344,1))  +  ISNUMBER(SEARCH("70 30",'power-on'!B344,1))  +  ISNUMBER(SEARCH("70 31",'power-on'!B344,1))  +  ISNUMBER(SEARCH("77 30",'power-on'!B344,1))  +  ISNUMBER(SEARCH("77 31",'power-on'!B344,1)),1,0)</f>
        <v>0</v>
      </c>
    </row>
    <row r="346" spans="2:22" x14ac:dyDescent="0.25">
      <c r="B346" s="1"/>
      <c r="V346">
        <f>IF(    ISNUMBER(SEARCH("10 30",'power-on'!B345,1))  +  ISNUMBER(SEARCH("10 31",'power-on'!B345,1))  +  ISNUMBER(SEARCH("70 30",'power-on'!B345,1))  +  ISNUMBER(SEARCH("70 31",'power-on'!B345,1))  +  ISNUMBER(SEARCH("77 30",'power-on'!B345,1))  +  ISNUMBER(SEARCH("77 31",'power-on'!B345,1)),1,0)</f>
        <v>0</v>
      </c>
    </row>
    <row r="347" spans="2:22" x14ac:dyDescent="0.25">
      <c r="B347" s="1"/>
      <c r="V347">
        <f>IF(    ISNUMBER(SEARCH("10 30",'power-on'!B346,1))  +  ISNUMBER(SEARCH("10 31",'power-on'!B346,1))  +  ISNUMBER(SEARCH("70 30",'power-on'!B346,1))  +  ISNUMBER(SEARCH("70 31",'power-on'!B346,1))  +  ISNUMBER(SEARCH("77 30",'power-on'!B346,1))  +  ISNUMBER(SEARCH("77 31",'power-on'!B346,1)),1,0)</f>
        <v>0</v>
      </c>
    </row>
    <row r="348" spans="2:22" x14ac:dyDescent="0.25">
      <c r="B348" s="1"/>
      <c r="V348">
        <f>IF(    ISNUMBER(SEARCH("10 30",'power-on'!B347,1))  +  ISNUMBER(SEARCH("10 31",'power-on'!B347,1))  +  ISNUMBER(SEARCH("70 30",'power-on'!B347,1))  +  ISNUMBER(SEARCH("70 31",'power-on'!B347,1))  +  ISNUMBER(SEARCH("77 30",'power-on'!B347,1))  +  ISNUMBER(SEARCH("77 31",'power-on'!B347,1)),1,0)</f>
        <v>0</v>
      </c>
    </row>
    <row r="349" spans="2:22" x14ac:dyDescent="0.25">
      <c r="B349" s="1"/>
      <c r="V349">
        <f>IF(    ISNUMBER(SEARCH("10 30",'power-on'!B348,1))  +  ISNUMBER(SEARCH("10 31",'power-on'!B348,1))  +  ISNUMBER(SEARCH("70 30",'power-on'!B348,1))  +  ISNUMBER(SEARCH("70 31",'power-on'!B348,1))  +  ISNUMBER(SEARCH("77 30",'power-on'!B348,1))  +  ISNUMBER(SEARCH("77 31",'power-on'!B348,1)),1,0)</f>
        <v>0</v>
      </c>
    </row>
    <row r="350" spans="2:22" x14ac:dyDescent="0.25">
      <c r="B350" s="1"/>
      <c r="V350">
        <f>IF(    ISNUMBER(SEARCH("10 30",'power-on'!B349,1))  +  ISNUMBER(SEARCH("10 31",'power-on'!B349,1))  +  ISNUMBER(SEARCH("70 30",'power-on'!B349,1))  +  ISNUMBER(SEARCH("70 31",'power-on'!B349,1))  +  ISNUMBER(SEARCH("77 30",'power-on'!B349,1))  +  ISNUMBER(SEARCH("77 31",'power-on'!B349,1)),1,0)</f>
        <v>0</v>
      </c>
    </row>
    <row r="351" spans="2:22" x14ac:dyDescent="0.25">
      <c r="B351" s="1"/>
      <c r="V351">
        <f>IF(    ISNUMBER(SEARCH("10 30",'power-on'!B350,1))  +  ISNUMBER(SEARCH("10 31",'power-on'!B350,1))  +  ISNUMBER(SEARCH("70 30",'power-on'!B350,1))  +  ISNUMBER(SEARCH("70 31",'power-on'!B350,1))  +  ISNUMBER(SEARCH("77 30",'power-on'!B350,1))  +  ISNUMBER(SEARCH("77 31",'power-on'!B350,1)),1,0)</f>
        <v>0</v>
      </c>
    </row>
    <row r="352" spans="2:22" x14ac:dyDescent="0.25">
      <c r="B352" s="1"/>
      <c r="V352">
        <f>IF(    ISNUMBER(SEARCH("10 30",'power-on'!B351,1))  +  ISNUMBER(SEARCH("10 31",'power-on'!B351,1))  +  ISNUMBER(SEARCH("70 30",'power-on'!B351,1))  +  ISNUMBER(SEARCH("70 31",'power-on'!B351,1))  +  ISNUMBER(SEARCH("77 30",'power-on'!B351,1))  +  ISNUMBER(SEARCH("77 31",'power-on'!B351,1)),1,0)</f>
        <v>0</v>
      </c>
    </row>
    <row r="353" spans="2:22" x14ac:dyDescent="0.25">
      <c r="B353" s="1"/>
      <c r="V353">
        <f>IF(    ISNUMBER(SEARCH("10 30",'power-on'!B352,1))  +  ISNUMBER(SEARCH("10 31",'power-on'!B352,1))  +  ISNUMBER(SEARCH("70 30",'power-on'!B352,1))  +  ISNUMBER(SEARCH("70 31",'power-on'!B352,1))  +  ISNUMBER(SEARCH("77 30",'power-on'!B352,1))  +  ISNUMBER(SEARCH("77 31",'power-on'!B352,1)),1,0)</f>
        <v>0</v>
      </c>
    </row>
    <row r="354" spans="2:22" x14ac:dyDescent="0.25">
      <c r="B354" s="1"/>
      <c r="V354">
        <f>IF(    ISNUMBER(SEARCH("10 30",'power-on'!B353,1))  +  ISNUMBER(SEARCH("10 31",'power-on'!B353,1))  +  ISNUMBER(SEARCH("70 30",'power-on'!B353,1))  +  ISNUMBER(SEARCH("70 31",'power-on'!B353,1))  +  ISNUMBER(SEARCH("77 30",'power-on'!B353,1))  +  ISNUMBER(SEARCH("77 31",'power-on'!B353,1)),1,0)</f>
        <v>0</v>
      </c>
    </row>
    <row r="355" spans="2:22" x14ac:dyDescent="0.25">
      <c r="B355" s="1"/>
      <c r="V355">
        <f>IF(    ISNUMBER(SEARCH("10 30",'power-on'!B354,1))  +  ISNUMBER(SEARCH("10 31",'power-on'!B354,1))  +  ISNUMBER(SEARCH("70 30",'power-on'!B354,1))  +  ISNUMBER(SEARCH("70 31",'power-on'!B354,1))  +  ISNUMBER(SEARCH("77 30",'power-on'!B354,1))  +  ISNUMBER(SEARCH("77 31",'power-on'!B354,1)),1,0)</f>
        <v>0</v>
      </c>
    </row>
    <row r="356" spans="2:22" x14ac:dyDescent="0.25">
      <c r="B356" s="1"/>
      <c r="V356">
        <f>IF(    ISNUMBER(SEARCH("10 30",'power-on'!B355,1))  +  ISNUMBER(SEARCH("10 31",'power-on'!B355,1))  +  ISNUMBER(SEARCH("70 30",'power-on'!B355,1))  +  ISNUMBER(SEARCH("70 31",'power-on'!B355,1))  +  ISNUMBER(SEARCH("77 30",'power-on'!B355,1))  +  ISNUMBER(SEARCH("77 31",'power-on'!B355,1)),1,0)</f>
        <v>0</v>
      </c>
    </row>
    <row r="357" spans="2:22" x14ac:dyDescent="0.25">
      <c r="B357" s="1"/>
      <c r="V357">
        <f>IF(    ISNUMBER(SEARCH("10 30",'power-on'!B356,1))  +  ISNUMBER(SEARCH("10 31",'power-on'!B356,1))  +  ISNUMBER(SEARCH("70 30",'power-on'!B356,1))  +  ISNUMBER(SEARCH("70 31",'power-on'!B356,1))  +  ISNUMBER(SEARCH("77 30",'power-on'!B356,1))  +  ISNUMBER(SEARCH("77 31",'power-on'!B356,1)),1,0)</f>
        <v>0</v>
      </c>
    </row>
    <row r="358" spans="2:22" x14ac:dyDescent="0.25">
      <c r="B358" s="1"/>
      <c r="V358">
        <f>IF(    ISNUMBER(SEARCH("10 30",'power-on'!B357,1))  +  ISNUMBER(SEARCH("10 31",'power-on'!B357,1))  +  ISNUMBER(SEARCH("70 30",'power-on'!B357,1))  +  ISNUMBER(SEARCH("70 31",'power-on'!B357,1))  +  ISNUMBER(SEARCH("77 30",'power-on'!B357,1))  +  ISNUMBER(SEARCH("77 31",'power-on'!B357,1)),1,0)</f>
        <v>0</v>
      </c>
    </row>
    <row r="359" spans="2:22" x14ac:dyDescent="0.25">
      <c r="B359" s="1"/>
      <c r="V359">
        <f>IF(    ISNUMBER(SEARCH("10 30",'power-on'!B358,1))  +  ISNUMBER(SEARCH("10 31",'power-on'!B358,1))  +  ISNUMBER(SEARCH("70 30",'power-on'!B358,1))  +  ISNUMBER(SEARCH("70 31",'power-on'!B358,1))  +  ISNUMBER(SEARCH("77 30",'power-on'!B358,1))  +  ISNUMBER(SEARCH("77 31",'power-on'!B358,1)),1,0)</f>
        <v>0</v>
      </c>
    </row>
    <row r="360" spans="2:22" x14ac:dyDescent="0.25">
      <c r="B360" s="1"/>
      <c r="V360">
        <f>IF(    ISNUMBER(SEARCH("10 30",'power-on'!B359,1))  +  ISNUMBER(SEARCH("10 31",'power-on'!B359,1))  +  ISNUMBER(SEARCH("70 30",'power-on'!B359,1))  +  ISNUMBER(SEARCH("70 31",'power-on'!B359,1))  +  ISNUMBER(SEARCH("77 30",'power-on'!B359,1))  +  ISNUMBER(SEARCH("77 31",'power-on'!B359,1)),1,0)</f>
        <v>0</v>
      </c>
    </row>
    <row r="361" spans="2:22" x14ac:dyDescent="0.25">
      <c r="B361" s="1"/>
      <c r="V361">
        <f>IF(    ISNUMBER(SEARCH("10 30",'power-on'!B360,1))  +  ISNUMBER(SEARCH("10 31",'power-on'!B360,1))  +  ISNUMBER(SEARCH("70 30",'power-on'!B360,1))  +  ISNUMBER(SEARCH("70 31",'power-on'!B360,1))  +  ISNUMBER(SEARCH("77 30",'power-on'!B360,1))  +  ISNUMBER(SEARCH("77 31",'power-on'!B360,1)),1,0)</f>
        <v>0</v>
      </c>
    </row>
    <row r="362" spans="2:22" x14ac:dyDescent="0.25">
      <c r="B362" s="1"/>
      <c r="V362">
        <f>IF(    ISNUMBER(SEARCH("10 30",'power-on'!B361,1))  +  ISNUMBER(SEARCH("10 31",'power-on'!B361,1))  +  ISNUMBER(SEARCH("70 30",'power-on'!B361,1))  +  ISNUMBER(SEARCH("70 31",'power-on'!B361,1))  +  ISNUMBER(SEARCH("77 30",'power-on'!B361,1))  +  ISNUMBER(SEARCH("77 31",'power-on'!B361,1)),1,0)</f>
        <v>0</v>
      </c>
    </row>
    <row r="363" spans="2:22" x14ac:dyDescent="0.25">
      <c r="B363" s="1"/>
      <c r="V363">
        <f>IF(    ISNUMBER(SEARCH("10 30",'power-on'!B362,1))  +  ISNUMBER(SEARCH("10 31",'power-on'!B362,1))  +  ISNUMBER(SEARCH("70 30",'power-on'!B362,1))  +  ISNUMBER(SEARCH("70 31",'power-on'!B362,1))  +  ISNUMBER(SEARCH("77 30",'power-on'!B362,1))  +  ISNUMBER(SEARCH("77 31",'power-on'!B362,1)),1,0)</f>
        <v>0</v>
      </c>
    </row>
    <row r="364" spans="2:22" x14ac:dyDescent="0.25">
      <c r="B364" s="1"/>
      <c r="V364">
        <f>IF(    ISNUMBER(SEARCH("10 30",'power-on'!B363,1))  +  ISNUMBER(SEARCH("10 31",'power-on'!B363,1))  +  ISNUMBER(SEARCH("70 30",'power-on'!B363,1))  +  ISNUMBER(SEARCH("70 31",'power-on'!B363,1))  +  ISNUMBER(SEARCH("77 30",'power-on'!B363,1))  +  ISNUMBER(SEARCH("77 31",'power-on'!B363,1)),1,0)</f>
        <v>0</v>
      </c>
    </row>
    <row r="365" spans="2:22" x14ac:dyDescent="0.25">
      <c r="B365" s="1"/>
      <c r="V365">
        <f>IF(    ISNUMBER(SEARCH("10 30",'power-on'!B364,1))  +  ISNUMBER(SEARCH("10 31",'power-on'!B364,1))  +  ISNUMBER(SEARCH("70 30",'power-on'!B364,1))  +  ISNUMBER(SEARCH("70 31",'power-on'!B364,1))  +  ISNUMBER(SEARCH("77 30",'power-on'!B364,1))  +  ISNUMBER(SEARCH("77 31",'power-on'!B364,1)),1,0)</f>
        <v>0</v>
      </c>
    </row>
    <row r="366" spans="2:22" x14ac:dyDescent="0.25">
      <c r="B366" s="1"/>
      <c r="V366">
        <f>IF(    ISNUMBER(SEARCH("10 30",'power-on'!B365,1))  +  ISNUMBER(SEARCH("10 31",'power-on'!B365,1))  +  ISNUMBER(SEARCH("70 30",'power-on'!B365,1))  +  ISNUMBER(SEARCH("70 31",'power-on'!B365,1))  +  ISNUMBER(SEARCH("77 30",'power-on'!B365,1))  +  ISNUMBER(SEARCH("77 31",'power-on'!B365,1)),1,0)</f>
        <v>0</v>
      </c>
    </row>
    <row r="367" spans="2:22" x14ac:dyDescent="0.25">
      <c r="B367" s="1"/>
      <c r="V367">
        <f>IF(    ISNUMBER(SEARCH("10 30",'power-on'!B366,1))  +  ISNUMBER(SEARCH("10 31",'power-on'!B366,1))  +  ISNUMBER(SEARCH("70 30",'power-on'!B366,1))  +  ISNUMBER(SEARCH("70 31",'power-on'!B366,1))  +  ISNUMBER(SEARCH("77 30",'power-on'!B366,1))  +  ISNUMBER(SEARCH("77 31",'power-on'!B366,1)),1,0)</f>
        <v>0</v>
      </c>
    </row>
    <row r="368" spans="2:22" x14ac:dyDescent="0.25">
      <c r="B368" s="1"/>
      <c r="V368">
        <f>IF(    ISNUMBER(SEARCH("10 30",'power-on'!B367,1))  +  ISNUMBER(SEARCH("10 31",'power-on'!B367,1))  +  ISNUMBER(SEARCH("70 30",'power-on'!B367,1))  +  ISNUMBER(SEARCH("70 31",'power-on'!B367,1))  +  ISNUMBER(SEARCH("77 30",'power-on'!B367,1))  +  ISNUMBER(SEARCH("77 31",'power-on'!B367,1)),1,0)</f>
        <v>0</v>
      </c>
    </row>
    <row r="369" spans="2:22" x14ac:dyDescent="0.25">
      <c r="B369" s="1"/>
      <c r="V369">
        <f>IF(    ISNUMBER(SEARCH("10 30",'power-on'!B368,1))  +  ISNUMBER(SEARCH("10 31",'power-on'!B368,1))  +  ISNUMBER(SEARCH("70 30",'power-on'!B368,1))  +  ISNUMBER(SEARCH("70 31",'power-on'!B368,1))  +  ISNUMBER(SEARCH("77 30",'power-on'!B368,1))  +  ISNUMBER(SEARCH("77 31",'power-on'!B368,1)),1,0)</f>
        <v>0</v>
      </c>
    </row>
    <row r="370" spans="2:22" x14ac:dyDescent="0.25">
      <c r="B370" s="1"/>
      <c r="V370">
        <f>IF(    ISNUMBER(SEARCH("10 30",'power-on'!B369,1))  +  ISNUMBER(SEARCH("10 31",'power-on'!B369,1))  +  ISNUMBER(SEARCH("70 30",'power-on'!B369,1))  +  ISNUMBER(SEARCH("70 31",'power-on'!B369,1))  +  ISNUMBER(SEARCH("77 30",'power-on'!B369,1))  +  ISNUMBER(SEARCH("77 31",'power-on'!B369,1)),1,0)</f>
        <v>0</v>
      </c>
    </row>
    <row r="371" spans="2:22" x14ac:dyDescent="0.25">
      <c r="B371" s="1"/>
      <c r="V371">
        <f>IF(    ISNUMBER(SEARCH("10 30",'power-on'!B370,1))  +  ISNUMBER(SEARCH("10 31",'power-on'!B370,1))  +  ISNUMBER(SEARCH("70 30",'power-on'!B370,1))  +  ISNUMBER(SEARCH("70 31",'power-on'!B370,1))  +  ISNUMBER(SEARCH("77 30",'power-on'!B370,1))  +  ISNUMBER(SEARCH("77 31",'power-on'!B370,1)),1,0)</f>
        <v>0</v>
      </c>
    </row>
    <row r="372" spans="2:22" x14ac:dyDescent="0.25">
      <c r="B372" s="1"/>
      <c r="V372">
        <f>IF(    ISNUMBER(SEARCH("10 30",'power-on'!B371,1))  +  ISNUMBER(SEARCH("10 31",'power-on'!B371,1))  +  ISNUMBER(SEARCH("70 30",'power-on'!B371,1))  +  ISNUMBER(SEARCH("70 31",'power-on'!B371,1))  +  ISNUMBER(SEARCH("77 30",'power-on'!B371,1))  +  ISNUMBER(SEARCH("77 31",'power-on'!B371,1)),1,0)</f>
        <v>0</v>
      </c>
    </row>
    <row r="373" spans="2:22" x14ac:dyDescent="0.25">
      <c r="B373" s="1"/>
      <c r="V373">
        <f>IF(    ISNUMBER(SEARCH("10 30",'power-on'!B372,1))  +  ISNUMBER(SEARCH("10 31",'power-on'!B372,1))  +  ISNUMBER(SEARCH("70 30",'power-on'!B372,1))  +  ISNUMBER(SEARCH("70 31",'power-on'!B372,1))  +  ISNUMBER(SEARCH("77 30",'power-on'!B372,1))  +  ISNUMBER(SEARCH("77 31",'power-on'!B372,1)),1,0)</f>
        <v>0</v>
      </c>
    </row>
    <row r="374" spans="2:22" x14ac:dyDescent="0.25">
      <c r="B374" s="1"/>
      <c r="V374">
        <f>IF(    ISNUMBER(SEARCH("10 30",'power-on'!B373,1))  +  ISNUMBER(SEARCH("10 31",'power-on'!B373,1))  +  ISNUMBER(SEARCH("70 30",'power-on'!B373,1))  +  ISNUMBER(SEARCH("70 31",'power-on'!B373,1))  +  ISNUMBER(SEARCH("77 30",'power-on'!B373,1))  +  ISNUMBER(SEARCH("77 31",'power-on'!B373,1)),1,0)</f>
        <v>0</v>
      </c>
    </row>
    <row r="375" spans="2:22" x14ac:dyDescent="0.25">
      <c r="B375" s="1"/>
      <c r="V375">
        <f>IF(    ISNUMBER(SEARCH("10 30",'power-on'!B374,1))  +  ISNUMBER(SEARCH("10 31",'power-on'!B374,1))  +  ISNUMBER(SEARCH("70 30",'power-on'!B374,1))  +  ISNUMBER(SEARCH("70 31",'power-on'!B374,1))  +  ISNUMBER(SEARCH("77 30",'power-on'!B374,1))  +  ISNUMBER(SEARCH("77 31",'power-on'!B374,1)),1,0)</f>
        <v>0</v>
      </c>
    </row>
    <row r="376" spans="2:22" x14ac:dyDescent="0.25">
      <c r="B376" s="1"/>
      <c r="V376">
        <f>IF(    ISNUMBER(SEARCH("10 30",'power-on'!B375,1))  +  ISNUMBER(SEARCH("10 31",'power-on'!B375,1))  +  ISNUMBER(SEARCH("70 30",'power-on'!B375,1))  +  ISNUMBER(SEARCH("70 31",'power-on'!B375,1))  +  ISNUMBER(SEARCH("77 30",'power-on'!B375,1))  +  ISNUMBER(SEARCH("77 31",'power-on'!B375,1)),1,0)</f>
        <v>0</v>
      </c>
    </row>
    <row r="377" spans="2:22" x14ac:dyDescent="0.25">
      <c r="B377" s="1"/>
      <c r="V377">
        <f>IF(    ISNUMBER(SEARCH("10 30",'power-on'!B376,1))  +  ISNUMBER(SEARCH("10 31",'power-on'!B376,1))  +  ISNUMBER(SEARCH("70 30",'power-on'!B376,1))  +  ISNUMBER(SEARCH("70 31",'power-on'!B376,1))  +  ISNUMBER(SEARCH("77 30",'power-on'!B376,1))  +  ISNUMBER(SEARCH("77 31",'power-on'!B376,1)),1,0)</f>
        <v>0</v>
      </c>
    </row>
    <row r="378" spans="2:22" x14ac:dyDescent="0.25">
      <c r="B378" s="1"/>
      <c r="V378">
        <f>IF(    ISNUMBER(SEARCH("10 30",'power-on'!B377,1))  +  ISNUMBER(SEARCH("10 31",'power-on'!B377,1))  +  ISNUMBER(SEARCH("70 30",'power-on'!B377,1))  +  ISNUMBER(SEARCH("70 31",'power-on'!B377,1))  +  ISNUMBER(SEARCH("77 30",'power-on'!B377,1))  +  ISNUMBER(SEARCH("77 31",'power-on'!B377,1)),1,0)</f>
        <v>0</v>
      </c>
    </row>
    <row r="379" spans="2:22" x14ac:dyDescent="0.25">
      <c r="B379" s="1"/>
      <c r="V379">
        <f>IF(    ISNUMBER(SEARCH("10 30",'power-on'!B378,1))  +  ISNUMBER(SEARCH("10 31",'power-on'!B378,1))  +  ISNUMBER(SEARCH("70 30",'power-on'!B378,1))  +  ISNUMBER(SEARCH("70 31",'power-on'!B378,1))  +  ISNUMBER(SEARCH("77 30",'power-on'!B378,1))  +  ISNUMBER(SEARCH("77 31",'power-on'!B378,1)),1,0)</f>
        <v>0</v>
      </c>
    </row>
    <row r="380" spans="2:22" x14ac:dyDescent="0.25">
      <c r="B380" s="1"/>
      <c r="V380">
        <f>IF(    ISNUMBER(SEARCH("10 30",'power-on'!B379,1))  +  ISNUMBER(SEARCH("10 31",'power-on'!B379,1))  +  ISNUMBER(SEARCH("70 30",'power-on'!B379,1))  +  ISNUMBER(SEARCH("70 31",'power-on'!B379,1))  +  ISNUMBER(SEARCH("77 30",'power-on'!B379,1))  +  ISNUMBER(SEARCH("77 31",'power-on'!B379,1)),1,0)</f>
        <v>0</v>
      </c>
    </row>
    <row r="381" spans="2:22" x14ac:dyDescent="0.25">
      <c r="B381" s="1"/>
      <c r="V381">
        <f>IF(    ISNUMBER(SEARCH("10 30",'power-on'!B380,1))  +  ISNUMBER(SEARCH("10 31",'power-on'!B380,1))  +  ISNUMBER(SEARCH("70 30",'power-on'!B380,1))  +  ISNUMBER(SEARCH("70 31",'power-on'!B380,1))  +  ISNUMBER(SEARCH("77 30",'power-on'!B380,1))  +  ISNUMBER(SEARCH("77 31",'power-on'!B380,1)),1,0)</f>
        <v>0</v>
      </c>
    </row>
    <row r="382" spans="2:22" x14ac:dyDescent="0.25">
      <c r="B382" s="1"/>
      <c r="V382">
        <f>IF(    ISNUMBER(SEARCH("10 30",'power-on'!B381,1))  +  ISNUMBER(SEARCH("10 31",'power-on'!B381,1))  +  ISNUMBER(SEARCH("70 30",'power-on'!B381,1))  +  ISNUMBER(SEARCH("70 31",'power-on'!B381,1))  +  ISNUMBER(SEARCH("77 30",'power-on'!B381,1))  +  ISNUMBER(SEARCH("77 31",'power-on'!B381,1)),1,0)</f>
        <v>0</v>
      </c>
    </row>
    <row r="383" spans="2:22" x14ac:dyDescent="0.25">
      <c r="B383" s="1"/>
      <c r="V383">
        <f>IF(    ISNUMBER(SEARCH("10 30",'power-on'!B382,1))  +  ISNUMBER(SEARCH("10 31",'power-on'!B382,1))  +  ISNUMBER(SEARCH("70 30",'power-on'!B382,1))  +  ISNUMBER(SEARCH("70 31",'power-on'!B382,1))  +  ISNUMBER(SEARCH("77 30",'power-on'!B382,1))  +  ISNUMBER(SEARCH("77 31",'power-on'!B382,1)),1,0)</f>
        <v>0</v>
      </c>
    </row>
    <row r="384" spans="2:22" x14ac:dyDescent="0.25">
      <c r="B384" s="1"/>
      <c r="V384">
        <f>IF(    ISNUMBER(SEARCH("10 30",'power-on'!B383,1))  +  ISNUMBER(SEARCH("10 31",'power-on'!B383,1))  +  ISNUMBER(SEARCH("70 30",'power-on'!B383,1))  +  ISNUMBER(SEARCH("70 31",'power-on'!B383,1))  +  ISNUMBER(SEARCH("77 30",'power-on'!B383,1))  +  ISNUMBER(SEARCH("77 31",'power-on'!B383,1)),1,0)</f>
        <v>0</v>
      </c>
    </row>
    <row r="385" spans="2:22" x14ac:dyDescent="0.25">
      <c r="B385" s="1"/>
      <c r="V385">
        <f>IF(    ISNUMBER(SEARCH("10 30",'power-on'!B384,1))  +  ISNUMBER(SEARCH("10 31",'power-on'!B384,1))  +  ISNUMBER(SEARCH("70 30",'power-on'!B384,1))  +  ISNUMBER(SEARCH("70 31",'power-on'!B384,1))  +  ISNUMBER(SEARCH("77 30",'power-on'!B384,1))  +  ISNUMBER(SEARCH("77 31",'power-on'!B384,1)),1,0)</f>
        <v>0</v>
      </c>
    </row>
    <row r="386" spans="2:22" x14ac:dyDescent="0.25">
      <c r="B386" s="1"/>
      <c r="V386">
        <f>IF(    ISNUMBER(SEARCH("10 30",'power-on'!B385,1))  +  ISNUMBER(SEARCH("10 31",'power-on'!B385,1))  +  ISNUMBER(SEARCH("70 30",'power-on'!B385,1))  +  ISNUMBER(SEARCH("70 31",'power-on'!B385,1))  +  ISNUMBER(SEARCH("77 30",'power-on'!B385,1))  +  ISNUMBER(SEARCH("77 31",'power-on'!B385,1)),1,0)</f>
        <v>0</v>
      </c>
    </row>
    <row r="387" spans="2:22" x14ac:dyDescent="0.25">
      <c r="B387" s="1"/>
      <c r="V387">
        <f>IF(    ISNUMBER(SEARCH("10 30",'power-on'!B386,1))  +  ISNUMBER(SEARCH("10 31",'power-on'!B386,1))  +  ISNUMBER(SEARCH("70 30",'power-on'!B386,1))  +  ISNUMBER(SEARCH("70 31",'power-on'!B386,1))  +  ISNUMBER(SEARCH("77 30",'power-on'!B386,1))  +  ISNUMBER(SEARCH("77 31",'power-on'!B386,1)),1,0)</f>
        <v>0</v>
      </c>
    </row>
    <row r="388" spans="2:22" x14ac:dyDescent="0.25">
      <c r="B388" s="1"/>
      <c r="V388">
        <f>IF(    ISNUMBER(SEARCH("10 30",'power-on'!B387,1))  +  ISNUMBER(SEARCH("10 31",'power-on'!B387,1))  +  ISNUMBER(SEARCH("70 30",'power-on'!B387,1))  +  ISNUMBER(SEARCH("70 31",'power-on'!B387,1))  +  ISNUMBER(SEARCH("77 30",'power-on'!B387,1))  +  ISNUMBER(SEARCH("77 31",'power-on'!B387,1)),1,0)</f>
        <v>0</v>
      </c>
    </row>
    <row r="389" spans="2:22" x14ac:dyDescent="0.25">
      <c r="B389" s="1"/>
      <c r="V389">
        <f>IF(    ISNUMBER(SEARCH("10 30",'power-on'!B388,1))  +  ISNUMBER(SEARCH("10 31",'power-on'!B388,1))  +  ISNUMBER(SEARCH("70 30",'power-on'!B388,1))  +  ISNUMBER(SEARCH("70 31",'power-on'!B388,1))  +  ISNUMBER(SEARCH("77 30",'power-on'!B388,1))  +  ISNUMBER(SEARCH("77 31",'power-on'!B388,1)),1,0)</f>
        <v>0</v>
      </c>
    </row>
    <row r="390" spans="2:22" x14ac:dyDescent="0.25">
      <c r="B390" s="1"/>
      <c r="V390">
        <f>IF(    ISNUMBER(SEARCH("10 30",'power-on'!B389,1))  +  ISNUMBER(SEARCH("10 31",'power-on'!B389,1))  +  ISNUMBER(SEARCH("70 30",'power-on'!B389,1))  +  ISNUMBER(SEARCH("70 31",'power-on'!B389,1))  +  ISNUMBER(SEARCH("77 30",'power-on'!B389,1))  +  ISNUMBER(SEARCH("77 31",'power-on'!B389,1)),1,0)</f>
        <v>0</v>
      </c>
    </row>
    <row r="391" spans="2:22" x14ac:dyDescent="0.25">
      <c r="B391" s="1"/>
      <c r="V391">
        <f>IF(    ISNUMBER(SEARCH("10 30",'power-on'!B390,1))  +  ISNUMBER(SEARCH("10 31",'power-on'!B390,1))  +  ISNUMBER(SEARCH("70 30",'power-on'!B390,1))  +  ISNUMBER(SEARCH("70 31",'power-on'!B390,1))  +  ISNUMBER(SEARCH("77 30",'power-on'!B390,1))  +  ISNUMBER(SEARCH("77 31",'power-on'!B390,1)),1,0)</f>
        <v>0</v>
      </c>
    </row>
    <row r="392" spans="2:22" x14ac:dyDescent="0.25">
      <c r="B392" s="1"/>
      <c r="V392">
        <f>IF(    ISNUMBER(SEARCH("10 30",'power-on'!B391,1))  +  ISNUMBER(SEARCH("10 31",'power-on'!B391,1))  +  ISNUMBER(SEARCH("70 30",'power-on'!B391,1))  +  ISNUMBER(SEARCH("70 31",'power-on'!B391,1))  +  ISNUMBER(SEARCH("77 30",'power-on'!B391,1))  +  ISNUMBER(SEARCH("77 31",'power-on'!B391,1)),1,0)</f>
        <v>0</v>
      </c>
    </row>
    <row r="393" spans="2:22" x14ac:dyDescent="0.25">
      <c r="B393" s="1"/>
      <c r="V393">
        <f>IF(    ISNUMBER(SEARCH("10 30",'power-on'!B392,1))  +  ISNUMBER(SEARCH("10 31",'power-on'!B392,1))  +  ISNUMBER(SEARCH("70 30",'power-on'!B392,1))  +  ISNUMBER(SEARCH("70 31",'power-on'!B392,1))  +  ISNUMBER(SEARCH("77 30",'power-on'!B392,1))  +  ISNUMBER(SEARCH("77 31",'power-on'!B392,1)),1,0)</f>
        <v>0</v>
      </c>
    </row>
    <row r="394" spans="2:22" x14ac:dyDescent="0.25">
      <c r="B394" s="1"/>
      <c r="V394">
        <f>IF(    ISNUMBER(SEARCH("10 30",'power-on'!B393,1))  +  ISNUMBER(SEARCH("10 31",'power-on'!B393,1))  +  ISNUMBER(SEARCH("70 30",'power-on'!B393,1))  +  ISNUMBER(SEARCH("70 31",'power-on'!B393,1))  +  ISNUMBER(SEARCH("77 30",'power-on'!B393,1))  +  ISNUMBER(SEARCH("77 31",'power-on'!B393,1)),1,0)</f>
        <v>0</v>
      </c>
    </row>
    <row r="395" spans="2:22" x14ac:dyDescent="0.25">
      <c r="B395" s="1"/>
      <c r="V395">
        <f>IF(    ISNUMBER(SEARCH("10 30",'power-on'!B394,1))  +  ISNUMBER(SEARCH("10 31",'power-on'!B394,1))  +  ISNUMBER(SEARCH("70 30",'power-on'!B394,1))  +  ISNUMBER(SEARCH("70 31",'power-on'!B394,1))  +  ISNUMBER(SEARCH("77 30",'power-on'!B394,1))  +  ISNUMBER(SEARCH("77 31",'power-on'!B394,1)),1,0)</f>
        <v>0</v>
      </c>
    </row>
    <row r="396" spans="2:22" x14ac:dyDescent="0.25">
      <c r="B396" s="1"/>
      <c r="V396">
        <f>IF(    ISNUMBER(SEARCH("10 30",'power-on'!B395,1))  +  ISNUMBER(SEARCH("10 31",'power-on'!B395,1))  +  ISNUMBER(SEARCH("70 30",'power-on'!B395,1))  +  ISNUMBER(SEARCH("70 31",'power-on'!B395,1))  +  ISNUMBER(SEARCH("77 30",'power-on'!B395,1))  +  ISNUMBER(SEARCH("77 31",'power-on'!B395,1)),1,0)</f>
        <v>0</v>
      </c>
    </row>
    <row r="397" spans="2:22" x14ac:dyDescent="0.25">
      <c r="B397" s="1"/>
      <c r="V397">
        <f>IF(    ISNUMBER(SEARCH("10 30",'power-on'!B396,1))  +  ISNUMBER(SEARCH("10 31",'power-on'!B396,1))  +  ISNUMBER(SEARCH("70 30",'power-on'!B396,1))  +  ISNUMBER(SEARCH("70 31",'power-on'!B396,1))  +  ISNUMBER(SEARCH("77 30",'power-on'!B396,1))  +  ISNUMBER(SEARCH("77 31",'power-on'!B396,1)),1,0)</f>
        <v>0</v>
      </c>
    </row>
    <row r="398" spans="2:22" x14ac:dyDescent="0.25">
      <c r="B398" s="1"/>
      <c r="V398">
        <f>IF(    ISNUMBER(SEARCH("10 30",'power-on'!B397,1))  +  ISNUMBER(SEARCH("10 31",'power-on'!B397,1))  +  ISNUMBER(SEARCH("70 30",'power-on'!B397,1))  +  ISNUMBER(SEARCH("70 31",'power-on'!B397,1))  +  ISNUMBER(SEARCH("77 30",'power-on'!B397,1))  +  ISNUMBER(SEARCH("77 31",'power-on'!B397,1)),1,0)</f>
        <v>0</v>
      </c>
    </row>
    <row r="399" spans="2:22" x14ac:dyDescent="0.25">
      <c r="B399" s="1"/>
      <c r="V399">
        <f>IF(    ISNUMBER(SEARCH("10 30",'power-on'!B398,1))  +  ISNUMBER(SEARCH("10 31",'power-on'!B398,1))  +  ISNUMBER(SEARCH("70 30",'power-on'!B398,1))  +  ISNUMBER(SEARCH("70 31",'power-on'!B398,1))  +  ISNUMBER(SEARCH("77 30",'power-on'!B398,1))  +  ISNUMBER(SEARCH("77 31",'power-on'!B398,1)),1,0)</f>
        <v>0</v>
      </c>
    </row>
    <row r="400" spans="2:22" x14ac:dyDescent="0.25">
      <c r="B400" s="1"/>
      <c r="V400">
        <f>IF(    ISNUMBER(SEARCH("10 30",'power-on'!B399,1))  +  ISNUMBER(SEARCH("10 31",'power-on'!B399,1))  +  ISNUMBER(SEARCH("70 30",'power-on'!B399,1))  +  ISNUMBER(SEARCH("70 31",'power-on'!B399,1))  +  ISNUMBER(SEARCH("77 30",'power-on'!B399,1))  +  ISNUMBER(SEARCH("77 31",'power-on'!B399,1)),1,0)</f>
        <v>0</v>
      </c>
    </row>
    <row r="401" spans="2:22" x14ac:dyDescent="0.25">
      <c r="B401" s="1"/>
      <c r="V401">
        <f>IF(    ISNUMBER(SEARCH("10 30",'power-on'!B400,1))  +  ISNUMBER(SEARCH("10 31",'power-on'!B400,1))  +  ISNUMBER(SEARCH("70 30",'power-on'!B400,1))  +  ISNUMBER(SEARCH("70 31",'power-on'!B400,1))  +  ISNUMBER(SEARCH("77 30",'power-on'!B400,1))  +  ISNUMBER(SEARCH("77 31",'power-on'!B400,1)),1,0)</f>
        <v>0</v>
      </c>
    </row>
    <row r="402" spans="2:22" x14ac:dyDescent="0.25">
      <c r="B402" s="1"/>
      <c r="V402">
        <f>IF(    ISNUMBER(SEARCH("10 30",'power-on'!B401,1))  +  ISNUMBER(SEARCH("10 31",'power-on'!B401,1))  +  ISNUMBER(SEARCH("70 30",'power-on'!B401,1))  +  ISNUMBER(SEARCH("70 31",'power-on'!B401,1))  +  ISNUMBER(SEARCH("77 30",'power-on'!B401,1))  +  ISNUMBER(SEARCH("77 31",'power-on'!B401,1)),1,0)</f>
        <v>0</v>
      </c>
    </row>
    <row r="403" spans="2:22" x14ac:dyDescent="0.25">
      <c r="B403" s="1"/>
      <c r="V403">
        <f>IF(    ISNUMBER(SEARCH("10 30",'power-on'!B402,1))  +  ISNUMBER(SEARCH("10 31",'power-on'!B402,1))  +  ISNUMBER(SEARCH("70 30",'power-on'!B402,1))  +  ISNUMBER(SEARCH("70 31",'power-on'!B402,1))  +  ISNUMBER(SEARCH("77 30",'power-on'!B402,1))  +  ISNUMBER(SEARCH("77 31",'power-on'!B402,1)),1,0)</f>
        <v>0</v>
      </c>
    </row>
    <row r="404" spans="2:22" x14ac:dyDescent="0.25">
      <c r="B404" s="1"/>
      <c r="V404">
        <f>IF(    ISNUMBER(SEARCH("10 30",'power-on'!B403,1))  +  ISNUMBER(SEARCH("10 31",'power-on'!B403,1))  +  ISNUMBER(SEARCH("70 30",'power-on'!B403,1))  +  ISNUMBER(SEARCH("70 31",'power-on'!B403,1))  +  ISNUMBER(SEARCH("77 30",'power-on'!B403,1))  +  ISNUMBER(SEARCH("77 31",'power-on'!B403,1)),1,0)</f>
        <v>0</v>
      </c>
    </row>
    <row r="405" spans="2:22" x14ac:dyDescent="0.25">
      <c r="B405" s="1"/>
      <c r="V405">
        <f>IF(    ISNUMBER(SEARCH("10 30",'power-on'!B404,1))  +  ISNUMBER(SEARCH("10 31",'power-on'!B404,1))  +  ISNUMBER(SEARCH("70 30",'power-on'!B404,1))  +  ISNUMBER(SEARCH("70 31",'power-on'!B404,1))  +  ISNUMBER(SEARCH("77 30",'power-on'!B404,1))  +  ISNUMBER(SEARCH("77 31",'power-on'!B404,1)),1,0)</f>
        <v>0</v>
      </c>
    </row>
    <row r="406" spans="2:22" x14ac:dyDescent="0.25">
      <c r="B406" s="1"/>
      <c r="V406">
        <f>IF(    ISNUMBER(SEARCH("10 30",'power-on'!B405,1))  +  ISNUMBER(SEARCH("10 31",'power-on'!B405,1))  +  ISNUMBER(SEARCH("70 30",'power-on'!B405,1))  +  ISNUMBER(SEARCH("70 31",'power-on'!B405,1))  +  ISNUMBER(SEARCH("77 30",'power-on'!B405,1))  +  ISNUMBER(SEARCH("77 31",'power-on'!B405,1)),1,0)</f>
        <v>0</v>
      </c>
    </row>
    <row r="407" spans="2:22" x14ac:dyDescent="0.25">
      <c r="B407" s="1"/>
      <c r="V407">
        <f>IF(    ISNUMBER(SEARCH("10 30",'power-on'!B406,1))  +  ISNUMBER(SEARCH("10 31",'power-on'!B406,1))  +  ISNUMBER(SEARCH("70 30",'power-on'!B406,1))  +  ISNUMBER(SEARCH("70 31",'power-on'!B406,1))  +  ISNUMBER(SEARCH("77 30",'power-on'!B406,1))  +  ISNUMBER(SEARCH("77 31",'power-on'!B406,1)),1,0)</f>
        <v>0</v>
      </c>
    </row>
    <row r="408" spans="2:22" x14ac:dyDescent="0.25">
      <c r="B408" s="1"/>
      <c r="V408">
        <f>IF(    ISNUMBER(SEARCH("10 30",'power-on'!B407,1))  +  ISNUMBER(SEARCH("10 31",'power-on'!B407,1))  +  ISNUMBER(SEARCH("70 30",'power-on'!B407,1))  +  ISNUMBER(SEARCH("70 31",'power-on'!B407,1))  +  ISNUMBER(SEARCH("77 30",'power-on'!B407,1))  +  ISNUMBER(SEARCH("77 31",'power-on'!B407,1)),1,0)</f>
        <v>0</v>
      </c>
    </row>
    <row r="409" spans="2:22" x14ac:dyDescent="0.25">
      <c r="B409" s="1"/>
      <c r="V409">
        <f>IF(    ISNUMBER(SEARCH("10 30",'power-on'!B408,1))  +  ISNUMBER(SEARCH("10 31",'power-on'!B408,1))  +  ISNUMBER(SEARCH("70 30",'power-on'!B408,1))  +  ISNUMBER(SEARCH("70 31",'power-on'!B408,1))  +  ISNUMBER(SEARCH("77 30",'power-on'!B408,1))  +  ISNUMBER(SEARCH("77 31",'power-on'!B408,1)),1,0)</f>
        <v>0</v>
      </c>
    </row>
    <row r="410" spans="2:22" x14ac:dyDescent="0.25">
      <c r="B410" s="1"/>
      <c r="V410">
        <f>IF(    ISNUMBER(SEARCH("10 30",'power-on'!B409,1))  +  ISNUMBER(SEARCH("10 31",'power-on'!B409,1))  +  ISNUMBER(SEARCH("70 30",'power-on'!B409,1))  +  ISNUMBER(SEARCH("70 31",'power-on'!B409,1))  +  ISNUMBER(SEARCH("77 30",'power-on'!B409,1))  +  ISNUMBER(SEARCH("77 31",'power-on'!B409,1)),1,0)</f>
        <v>0</v>
      </c>
    </row>
    <row r="411" spans="2:22" x14ac:dyDescent="0.25">
      <c r="B411" s="1"/>
      <c r="V411">
        <f>IF(    ISNUMBER(SEARCH("10 30",'power-on'!B410,1))  +  ISNUMBER(SEARCH("10 31",'power-on'!B410,1))  +  ISNUMBER(SEARCH("70 30",'power-on'!B410,1))  +  ISNUMBER(SEARCH("70 31",'power-on'!B410,1))  +  ISNUMBER(SEARCH("77 30",'power-on'!B410,1))  +  ISNUMBER(SEARCH("77 31",'power-on'!B410,1)),1,0)</f>
        <v>0</v>
      </c>
    </row>
    <row r="412" spans="2:22" x14ac:dyDescent="0.25">
      <c r="B412" s="1"/>
      <c r="V412">
        <f>IF(    ISNUMBER(SEARCH("10 30",'power-on'!B411,1))  +  ISNUMBER(SEARCH("10 31",'power-on'!B411,1))  +  ISNUMBER(SEARCH("70 30",'power-on'!B411,1))  +  ISNUMBER(SEARCH("70 31",'power-on'!B411,1))  +  ISNUMBER(SEARCH("77 30",'power-on'!B411,1))  +  ISNUMBER(SEARCH("77 31",'power-on'!B411,1)),1,0)</f>
        <v>0</v>
      </c>
    </row>
    <row r="413" spans="2:22" x14ac:dyDescent="0.25">
      <c r="B413" s="1"/>
      <c r="V413">
        <f>IF(    ISNUMBER(SEARCH("10 30",'power-on'!B412,1))  +  ISNUMBER(SEARCH("10 31",'power-on'!B412,1))  +  ISNUMBER(SEARCH("70 30",'power-on'!B412,1))  +  ISNUMBER(SEARCH("70 31",'power-on'!B412,1))  +  ISNUMBER(SEARCH("77 30",'power-on'!B412,1))  +  ISNUMBER(SEARCH("77 31",'power-on'!B412,1)),1,0)</f>
        <v>0</v>
      </c>
    </row>
    <row r="414" spans="2:22" x14ac:dyDescent="0.25">
      <c r="B414" s="1"/>
      <c r="V414">
        <f>IF(    ISNUMBER(SEARCH("10 30",'power-on'!B413,1))  +  ISNUMBER(SEARCH("10 31",'power-on'!B413,1))  +  ISNUMBER(SEARCH("70 30",'power-on'!B413,1))  +  ISNUMBER(SEARCH("70 31",'power-on'!B413,1))  +  ISNUMBER(SEARCH("77 30",'power-on'!B413,1))  +  ISNUMBER(SEARCH("77 31",'power-on'!B413,1)),1,0)</f>
        <v>0</v>
      </c>
    </row>
    <row r="415" spans="2:22" x14ac:dyDescent="0.25">
      <c r="B415" s="1"/>
      <c r="V415">
        <f>IF(    ISNUMBER(SEARCH("10 30",'power-on'!B414,1))  +  ISNUMBER(SEARCH("10 31",'power-on'!B414,1))  +  ISNUMBER(SEARCH("70 30",'power-on'!B414,1))  +  ISNUMBER(SEARCH("70 31",'power-on'!B414,1))  +  ISNUMBER(SEARCH("77 30",'power-on'!B414,1))  +  ISNUMBER(SEARCH("77 31",'power-on'!B414,1)),1,0)</f>
        <v>0</v>
      </c>
    </row>
    <row r="416" spans="2:22" x14ac:dyDescent="0.25">
      <c r="B416" s="1"/>
      <c r="V416">
        <f>IF(    ISNUMBER(SEARCH("10 30",'power-on'!B415,1))  +  ISNUMBER(SEARCH("10 31",'power-on'!B415,1))  +  ISNUMBER(SEARCH("70 30",'power-on'!B415,1))  +  ISNUMBER(SEARCH("70 31",'power-on'!B415,1))  +  ISNUMBER(SEARCH("77 30",'power-on'!B415,1))  +  ISNUMBER(SEARCH("77 31",'power-on'!B415,1)),1,0)</f>
        <v>0</v>
      </c>
    </row>
    <row r="417" spans="2:22" x14ac:dyDescent="0.25">
      <c r="B417" s="1"/>
      <c r="V417">
        <f>IF(    ISNUMBER(SEARCH("10 30",'power-on'!B416,1))  +  ISNUMBER(SEARCH("10 31",'power-on'!B416,1))  +  ISNUMBER(SEARCH("70 30",'power-on'!B416,1))  +  ISNUMBER(SEARCH("70 31",'power-on'!B416,1))  +  ISNUMBER(SEARCH("77 30",'power-on'!B416,1))  +  ISNUMBER(SEARCH("77 31",'power-on'!B416,1)),1,0)</f>
        <v>0</v>
      </c>
    </row>
    <row r="418" spans="2:22" x14ac:dyDescent="0.25">
      <c r="B418" s="1"/>
      <c r="V418">
        <f>IF(    ISNUMBER(SEARCH("10 30",'power-on'!B417,1))  +  ISNUMBER(SEARCH("10 31",'power-on'!B417,1))  +  ISNUMBER(SEARCH("70 30",'power-on'!B417,1))  +  ISNUMBER(SEARCH("70 31",'power-on'!B417,1))  +  ISNUMBER(SEARCH("77 30",'power-on'!B417,1))  +  ISNUMBER(SEARCH("77 31",'power-on'!B417,1)),1,0)</f>
        <v>0</v>
      </c>
    </row>
    <row r="419" spans="2:22" x14ac:dyDescent="0.25">
      <c r="B419" s="1"/>
      <c r="V419">
        <f>IF(    ISNUMBER(SEARCH("10 30",'power-on'!B418,1))  +  ISNUMBER(SEARCH("10 31",'power-on'!B418,1))  +  ISNUMBER(SEARCH("70 30",'power-on'!B418,1))  +  ISNUMBER(SEARCH("70 31",'power-on'!B418,1))  +  ISNUMBER(SEARCH("77 30",'power-on'!B418,1))  +  ISNUMBER(SEARCH("77 31",'power-on'!B418,1)),1,0)</f>
        <v>0</v>
      </c>
    </row>
    <row r="420" spans="2:22" x14ac:dyDescent="0.25">
      <c r="B420" s="1"/>
      <c r="V420">
        <f>IF(    ISNUMBER(SEARCH("10 30",'power-on'!B419,1))  +  ISNUMBER(SEARCH("10 31",'power-on'!B419,1))  +  ISNUMBER(SEARCH("70 30",'power-on'!B419,1))  +  ISNUMBER(SEARCH("70 31",'power-on'!B419,1))  +  ISNUMBER(SEARCH("77 30",'power-on'!B419,1))  +  ISNUMBER(SEARCH("77 31",'power-on'!B419,1)),1,0)</f>
        <v>0</v>
      </c>
    </row>
    <row r="421" spans="2:22" x14ac:dyDescent="0.25">
      <c r="B421" s="1"/>
      <c r="V421">
        <f>IF(    ISNUMBER(SEARCH("10 30",'power-on'!B420,1))  +  ISNUMBER(SEARCH("10 31",'power-on'!B420,1))  +  ISNUMBER(SEARCH("70 30",'power-on'!B420,1))  +  ISNUMBER(SEARCH("70 31",'power-on'!B420,1))  +  ISNUMBER(SEARCH("77 30",'power-on'!B420,1))  +  ISNUMBER(SEARCH("77 31",'power-on'!B420,1)),1,0)</f>
        <v>0</v>
      </c>
    </row>
    <row r="422" spans="2:22" x14ac:dyDescent="0.25">
      <c r="B422" s="1"/>
      <c r="V422">
        <f>IF(    ISNUMBER(SEARCH("10 30",'power-on'!B421,1))  +  ISNUMBER(SEARCH("10 31",'power-on'!B421,1))  +  ISNUMBER(SEARCH("70 30",'power-on'!B421,1))  +  ISNUMBER(SEARCH("70 31",'power-on'!B421,1))  +  ISNUMBER(SEARCH("77 30",'power-on'!B421,1))  +  ISNUMBER(SEARCH("77 31",'power-on'!B421,1)),1,0)</f>
        <v>0</v>
      </c>
    </row>
    <row r="423" spans="2:22" x14ac:dyDescent="0.25">
      <c r="B423" s="1"/>
      <c r="V423">
        <f>IF(    ISNUMBER(SEARCH("10 30",'power-on'!B422,1))  +  ISNUMBER(SEARCH("10 31",'power-on'!B422,1))  +  ISNUMBER(SEARCH("70 30",'power-on'!B422,1))  +  ISNUMBER(SEARCH("70 31",'power-on'!B422,1))  +  ISNUMBER(SEARCH("77 30",'power-on'!B422,1))  +  ISNUMBER(SEARCH("77 31",'power-on'!B422,1)),1,0)</f>
        <v>0</v>
      </c>
    </row>
    <row r="424" spans="2:22" x14ac:dyDescent="0.25">
      <c r="B424" s="1"/>
      <c r="V424">
        <f>IF(    ISNUMBER(SEARCH("10 30",'power-on'!B423,1))  +  ISNUMBER(SEARCH("10 31",'power-on'!B423,1))  +  ISNUMBER(SEARCH("70 30",'power-on'!B423,1))  +  ISNUMBER(SEARCH("70 31",'power-on'!B423,1))  +  ISNUMBER(SEARCH("77 30",'power-on'!B423,1))  +  ISNUMBER(SEARCH("77 31",'power-on'!B423,1)),1,0)</f>
        <v>0</v>
      </c>
    </row>
    <row r="425" spans="2:22" x14ac:dyDescent="0.25">
      <c r="B425" s="1"/>
      <c r="V425">
        <f>IF(    ISNUMBER(SEARCH("10 30",'power-on'!B424,1))  +  ISNUMBER(SEARCH("10 31",'power-on'!B424,1))  +  ISNUMBER(SEARCH("70 30",'power-on'!B424,1))  +  ISNUMBER(SEARCH("70 31",'power-on'!B424,1))  +  ISNUMBER(SEARCH("77 30",'power-on'!B424,1))  +  ISNUMBER(SEARCH("77 31",'power-on'!B424,1)),1,0)</f>
        <v>0</v>
      </c>
    </row>
    <row r="426" spans="2:22" x14ac:dyDescent="0.25">
      <c r="B426" s="1"/>
      <c r="V426">
        <f>IF(    ISNUMBER(SEARCH("10 30",'power-on'!B425,1))  +  ISNUMBER(SEARCH("10 31",'power-on'!B425,1))  +  ISNUMBER(SEARCH("70 30",'power-on'!B425,1))  +  ISNUMBER(SEARCH("70 31",'power-on'!B425,1))  +  ISNUMBER(SEARCH("77 30",'power-on'!B425,1))  +  ISNUMBER(SEARCH("77 31",'power-on'!B425,1)),1,0)</f>
        <v>0</v>
      </c>
    </row>
    <row r="427" spans="2:22" x14ac:dyDescent="0.25">
      <c r="B427" s="1"/>
      <c r="V427">
        <f>IF(    ISNUMBER(SEARCH("10 30",'power-on'!B426,1))  +  ISNUMBER(SEARCH("10 31",'power-on'!B426,1))  +  ISNUMBER(SEARCH("70 30",'power-on'!B426,1))  +  ISNUMBER(SEARCH("70 31",'power-on'!B426,1))  +  ISNUMBER(SEARCH("77 30",'power-on'!B426,1))  +  ISNUMBER(SEARCH("77 31",'power-on'!B426,1)),1,0)</f>
        <v>0</v>
      </c>
    </row>
    <row r="428" spans="2:22" x14ac:dyDescent="0.25">
      <c r="B428" s="1"/>
      <c r="V428">
        <f>IF(    ISNUMBER(SEARCH("10 30",'power-on'!B427,1))  +  ISNUMBER(SEARCH("10 31",'power-on'!B427,1))  +  ISNUMBER(SEARCH("70 30",'power-on'!B427,1))  +  ISNUMBER(SEARCH("70 31",'power-on'!B427,1))  +  ISNUMBER(SEARCH("77 30",'power-on'!B427,1))  +  ISNUMBER(SEARCH("77 31",'power-on'!B427,1)),1,0)</f>
        <v>0</v>
      </c>
    </row>
    <row r="429" spans="2:22" x14ac:dyDescent="0.25">
      <c r="B429" s="1"/>
      <c r="V429">
        <f>IF(    ISNUMBER(SEARCH("10 30",'power-on'!B428,1))  +  ISNUMBER(SEARCH("10 31",'power-on'!B428,1))  +  ISNUMBER(SEARCH("70 30",'power-on'!B428,1))  +  ISNUMBER(SEARCH("70 31",'power-on'!B428,1))  +  ISNUMBER(SEARCH("77 30",'power-on'!B428,1))  +  ISNUMBER(SEARCH("77 31",'power-on'!B428,1)),1,0)</f>
        <v>0</v>
      </c>
    </row>
    <row r="430" spans="2:22" x14ac:dyDescent="0.25">
      <c r="B430" s="1"/>
      <c r="V430">
        <f>IF(    ISNUMBER(SEARCH("10 30",'power-on'!B429,1))  +  ISNUMBER(SEARCH("10 31",'power-on'!B429,1))  +  ISNUMBER(SEARCH("70 30",'power-on'!B429,1))  +  ISNUMBER(SEARCH("70 31",'power-on'!B429,1))  +  ISNUMBER(SEARCH("77 30",'power-on'!B429,1))  +  ISNUMBER(SEARCH("77 31",'power-on'!B429,1)),1,0)</f>
        <v>0</v>
      </c>
    </row>
    <row r="431" spans="2:22" x14ac:dyDescent="0.25">
      <c r="B431" s="1"/>
      <c r="V431">
        <f>IF(    ISNUMBER(SEARCH("10 30",'power-on'!B430,1))  +  ISNUMBER(SEARCH("10 31",'power-on'!B430,1))  +  ISNUMBER(SEARCH("70 30",'power-on'!B430,1))  +  ISNUMBER(SEARCH("70 31",'power-on'!B430,1))  +  ISNUMBER(SEARCH("77 30",'power-on'!B430,1))  +  ISNUMBER(SEARCH("77 31",'power-on'!B430,1)),1,0)</f>
        <v>0</v>
      </c>
    </row>
    <row r="432" spans="2:22" x14ac:dyDescent="0.25">
      <c r="B432" s="1"/>
      <c r="V432">
        <f>IF(    ISNUMBER(SEARCH("10 30",'power-on'!B431,1))  +  ISNUMBER(SEARCH("10 31",'power-on'!B431,1))  +  ISNUMBER(SEARCH("70 30",'power-on'!B431,1))  +  ISNUMBER(SEARCH("70 31",'power-on'!B431,1))  +  ISNUMBER(SEARCH("77 30",'power-on'!B431,1))  +  ISNUMBER(SEARCH("77 31",'power-on'!B431,1)),1,0)</f>
        <v>0</v>
      </c>
    </row>
    <row r="433" spans="2:22" x14ac:dyDescent="0.25">
      <c r="B433" s="1"/>
      <c r="V433">
        <f>IF(    ISNUMBER(SEARCH("10 30",'power-on'!B432,1))  +  ISNUMBER(SEARCH("10 31",'power-on'!B432,1))  +  ISNUMBER(SEARCH("70 30",'power-on'!B432,1))  +  ISNUMBER(SEARCH("70 31",'power-on'!B432,1))  +  ISNUMBER(SEARCH("77 30",'power-on'!B432,1))  +  ISNUMBER(SEARCH("77 31",'power-on'!B432,1)),1,0)</f>
        <v>0</v>
      </c>
    </row>
    <row r="434" spans="2:22" x14ac:dyDescent="0.25">
      <c r="B434" s="1"/>
      <c r="V434">
        <f>IF(    ISNUMBER(SEARCH("10 30",'power-on'!B433,1))  +  ISNUMBER(SEARCH("10 31",'power-on'!B433,1))  +  ISNUMBER(SEARCH("70 30",'power-on'!B433,1))  +  ISNUMBER(SEARCH("70 31",'power-on'!B433,1))  +  ISNUMBER(SEARCH("77 30",'power-on'!B433,1))  +  ISNUMBER(SEARCH("77 31",'power-on'!B433,1)),1,0)</f>
        <v>0</v>
      </c>
    </row>
    <row r="435" spans="2:22" x14ac:dyDescent="0.25">
      <c r="B435" s="1"/>
      <c r="V435">
        <f>IF(    ISNUMBER(SEARCH("10 30",'power-on'!B434,1))  +  ISNUMBER(SEARCH("10 31",'power-on'!B434,1))  +  ISNUMBER(SEARCH("70 30",'power-on'!B434,1))  +  ISNUMBER(SEARCH("70 31",'power-on'!B434,1))  +  ISNUMBER(SEARCH("77 30",'power-on'!B434,1))  +  ISNUMBER(SEARCH("77 31",'power-on'!B434,1)),1,0)</f>
        <v>0</v>
      </c>
    </row>
    <row r="436" spans="2:22" x14ac:dyDescent="0.25">
      <c r="B436" s="1"/>
      <c r="V436">
        <f>IF(    ISNUMBER(SEARCH("10 30",'power-on'!B435,1))  +  ISNUMBER(SEARCH("10 31",'power-on'!B435,1))  +  ISNUMBER(SEARCH("70 30",'power-on'!B435,1))  +  ISNUMBER(SEARCH("70 31",'power-on'!B435,1))  +  ISNUMBER(SEARCH("77 30",'power-on'!B435,1))  +  ISNUMBER(SEARCH("77 31",'power-on'!B435,1)),1,0)</f>
        <v>0</v>
      </c>
    </row>
    <row r="437" spans="2:22" x14ac:dyDescent="0.25">
      <c r="B437" s="1"/>
      <c r="V437">
        <f>IF(    ISNUMBER(SEARCH("10 30",'power-on'!B436,1))  +  ISNUMBER(SEARCH("10 31",'power-on'!B436,1))  +  ISNUMBER(SEARCH("70 30",'power-on'!B436,1))  +  ISNUMBER(SEARCH("70 31",'power-on'!B436,1))  +  ISNUMBER(SEARCH("77 30",'power-on'!B436,1))  +  ISNUMBER(SEARCH("77 31",'power-on'!B436,1)),1,0)</f>
        <v>0</v>
      </c>
    </row>
    <row r="438" spans="2:22" x14ac:dyDescent="0.25">
      <c r="B438" s="1"/>
      <c r="V438">
        <f>IF(    ISNUMBER(SEARCH("10 30",'power-on'!B437,1))  +  ISNUMBER(SEARCH("10 31",'power-on'!B437,1))  +  ISNUMBER(SEARCH("70 30",'power-on'!B437,1))  +  ISNUMBER(SEARCH("70 31",'power-on'!B437,1))  +  ISNUMBER(SEARCH("77 30",'power-on'!B437,1))  +  ISNUMBER(SEARCH("77 31",'power-on'!B437,1)),1,0)</f>
        <v>0</v>
      </c>
    </row>
    <row r="439" spans="2:22" x14ac:dyDescent="0.25">
      <c r="B439" s="1"/>
      <c r="V439">
        <f>IF(    ISNUMBER(SEARCH("10 30",'power-on'!B438,1))  +  ISNUMBER(SEARCH("10 31",'power-on'!B438,1))  +  ISNUMBER(SEARCH("70 30",'power-on'!B438,1))  +  ISNUMBER(SEARCH("70 31",'power-on'!B438,1))  +  ISNUMBER(SEARCH("77 30",'power-on'!B438,1))  +  ISNUMBER(SEARCH("77 31",'power-on'!B438,1)),1,0)</f>
        <v>0</v>
      </c>
    </row>
    <row r="440" spans="2:22" x14ac:dyDescent="0.25">
      <c r="B440" s="1"/>
      <c r="V440">
        <f>IF(    ISNUMBER(SEARCH("10 30",'power-on'!B439,1))  +  ISNUMBER(SEARCH("10 31",'power-on'!B439,1))  +  ISNUMBER(SEARCH("70 30",'power-on'!B439,1))  +  ISNUMBER(SEARCH("70 31",'power-on'!B439,1))  +  ISNUMBER(SEARCH("77 30",'power-on'!B439,1))  +  ISNUMBER(SEARCH("77 31",'power-on'!B439,1)),1,0)</f>
        <v>0</v>
      </c>
    </row>
    <row r="441" spans="2:22" x14ac:dyDescent="0.25">
      <c r="B441" s="1"/>
      <c r="V441">
        <f>IF(    ISNUMBER(SEARCH("10 30",'power-on'!B440,1))  +  ISNUMBER(SEARCH("10 31",'power-on'!B440,1))  +  ISNUMBER(SEARCH("70 30",'power-on'!B440,1))  +  ISNUMBER(SEARCH("70 31",'power-on'!B440,1))  +  ISNUMBER(SEARCH("77 30",'power-on'!B440,1))  +  ISNUMBER(SEARCH("77 31",'power-on'!B440,1)),1,0)</f>
        <v>0</v>
      </c>
    </row>
    <row r="442" spans="2:22" x14ac:dyDescent="0.25">
      <c r="B442" s="1"/>
      <c r="V442">
        <f>IF(    ISNUMBER(SEARCH("10 30",'power-on'!B441,1))  +  ISNUMBER(SEARCH("10 31",'power-on'!B441,1))  +  ISNUMBER(SEARCH("70 30",'power-on'!B441,1))  +  ISNUMBER(SEARCH("70 31",'power-on'!B441,1))  +  ISNUMBER(SEARCH("77 30",'power-on'!B441,1))  +  ISNUMBER(SEARCH("77 31",'power-on'!B441,1)),1,0)</f>
        <v>0</v>
      </c>
    </row>
    <row r="443" spans="2:22" x14ac:dyDescent="0.25">
      <c r="B443" s="1"/>
      <c r="V443">
        <f>IF(    ISNUMBER(SEARCH("10 30",'power-on'!B442,1))  +  ISNUMBER(SEARCH("10 31",'power-on'!B442,1))  +  ISNUMBER(SEARCH("70 30",'power-on'!B442,1))  +  ISNUMBER(SEARCH("70 31",'power-on'!B442,1))  +  ISNUMBER(SEARCH("77 30",'power-on'!B442,1))  +  ISNUMBER(SEARCH("77 31",'power-on'!B442,1)),1,0)</f>
        <v>0</v>
      </c>
    </row>
    <row r="444" spans="2:22" x14ac:dyDescent="0.25">
      <c r="B444" s="1"/>
      <c r="V444">
        <f>IF(    ISNUMBER(SEARCH("10 30",'power-on'!B443,1))  +  ISNUMBER(SEARCH("10 31",'power-on'!B443,1))  +  ISNUMBER(SEARCH("70 30",'power-on'!B443,1))  +  ISNUMBER(SEARCH("70 31",'power-on'!B443,1))  +  ISNUMBER(SEARCH("77 30",'power-on'!B443,1))  +  ISNUMBER(SEARCH("77 31",'power-on'!B443,1)),1,0)</f>
        <v>0</v>
      </c>
    </row>
    <row r="445" spans="2:22" x14ac:dyDescent="0.25">
      <c r="B445" s="1"/>
      <c r="V445">
        <f>IF(    ISNUMBER(SEARCH("10 30",'power-on'!B444,1))  +  ISNUMBER(SEARCH("10 31",'power-on'!B444,1))  +  ISNUMBER(SEARCH("70 30",'power-on'!B444,1))  +  ISNUMBER(SEARCH("70 31",'power-on'!B444,1))  +  ISNUMBER(SEARCH("77 30",'power-on'!B444,1))  +  ISNUMBER(SEARCH("77 31",'power-on'!B444,1)),1,0)</f>
        <v>0</v>
      </c>
    </row>
    <row r="446" spans="2:22" x14ac:dyDescent="0.25">
      <c r="B446" s="1"/>
      <c r="V446">
        <f>IF(    ISNUMBER(SEARCH("10 30",'power-on'!B445,1))  +  ISNUMBER(SEARCH("10 31",'power-on'!B445,1))  +  ISNUMBER(SEARCH("70 30",'power-on'!B445,1))  +  ISNUMBER(SEARCH("70 31",'power-on'!B445,1))  +  ISNUMBER(SEARCH("77 30",'power-on'!B445,1))  +  ISNUMBER(SEARCH("77 31",'power-on'!B445,1)),1,0)</f>
        <v>0</v>
      </c>
    </row>
    <row r="447" spans="2:22" x14ac:dyDescent="0.25">
      <c r="B447" s="1"/>
      <c r="V447">
        <f>IF(    ISNUMBER(SEARCH("10 30",'power-on'!B446,1))  +  ISNUMBER(SEARCH("10 31",'power-on'!B446,1))  +  ISNUMBER(SEARCH("70 30",'power-on'!B446,1))  +  ISNUMBER(SEARCH("70 31",'power-on'!B446,1))  +  ISNUMBER(SEARCH("77 30",'power-on'!B446,1))  +  ISNUMBER(SEARCH("77 31",'power-on'!B446,1)),1,0)</f>
        <v>0</v>
      </c>
    </row>
    <row r="448" spans="2:22" x14ac:dyDescent="0.25">
      <c r="B448" s="1"/>
      <c r="V448">
        <f>IF(    ISNUMBER(SEARCH("10 30",'power-on'!B447,1))  +  ISNUMBER(SEARCH("10 31",'power-on'!B447,1))  +  ISNUMBER(SEARCH("70 30",'power-on'!B447,1))  +  ISNUMBER(SEARCH("70 31",'power-on'!B447,1))  +  ISNUMBER(SEARCH("77 30",'power-on'!B447,1))  +  ISNUMBER(SEARCH("77 31",'power-on'!B447,1)),1,0)</f>
        <v>0</v>
      </c>
    </row>
    <row r="449" spans="2:22" x14ac:dyDescent="0.25">
      <c r="B449" s="1"/>
      <c r="V449">
        <f>IF(    ISNUMBER(SEARCH("10 30",'power-on'!B448,1))  +  ISNUMBER(SEARCH("10 31",'power-on'!B448,1))  +  ISNUMBER(SEARCH("70 30",'power-on'!B448,1))  +  ISNUMBER(SEARCH("70 31",'power-on'!B448,1))  +  ISNUMBER(SEARCH("77 30",'power-on'!B448,1))  +  ISNUMBER(SEARCH("77 31",'power-on'!B448,1)),1,0)</f>
        <v>0</v>
      </c>
    </row>
    <row r="450" spans="2:22" x14ac:dyDescent="0.25">
      <c r="B450" s="1"/>
      <c r="V450">
        <f>IF(    ISNUMBER(SEARCH("10 30",'power-on'!B449,1))  +  ISNUMBER(SEARCH("10 31",'power-on'!B449,1))  +  ISNUMBER(SEARCH("70 30",'power-on'!B449,1))  +  ISNUMBER(SEARCH("70 31",'power-on'!B449,1))  +  ISNUMBER(SEARCH("77 30",'power-on'!B449,1))  +  ISNUMBER(SEARCH("77 31",'power-on'!B449,1)),1,0)</f>
        <v>0</v>
      </c>
    </row>
    <row r="451" spans="2:22" x14ac:dyDescent="0.25">
      <c r="B451" s="1"/>
      <c r="V451">
        <f>IF(    ISNUMBER(SEARCH("10 30",'power-on'!B450,1))  +  ISNUMBER(SEARCH("10 31",'power-on'!B450,1))  +  ISNUMBER(SEARCH("70 30",'power-on'!B450,1))  +  ISNUMBER(SEARCH("70 31",'power-on'!B450,1))  +  ISNUMBER(SEARCH("77 30",'power-on'!B450,1))  +  ISNUMBER(SEARCH("77 31",'power-on'!B450,1)),1,0)</f>
        <v>0</v>
      </c>
    </row>
    <row r="452" spans="2:22" x14ac:dyDescent="0.25">
      <c r="B452" s="1"/>
      <c r="V452">
        <f>IF(    ISNUMBER(SEARCH("10 30",'power-on'!B451,1))  +  ISNUMBER(SEARCH("10 31",'power-on'!B451,1))  +  ISNUMBER(SEARCH("70 30",'power-on'!B451,1))  +  ISNUMBER(SEARCH("70 31",'power-on'!B451,1))  +  ISNUMBER(SEARCH("77 30",'power-on'!B451,1))  +  ISNUMBER(SEARCH("77 31",'power-on'!B451,1)),1,0)</f>
        <v>0</v>
      </c>
    </row>
    <row r="453" spans="2:22" x14ac:dyDescent="0.25">
      <c r="B453" s="1"/>
      <c r="V453">
        <f>IF(    ISNUMBER(SEARCH("10 30",'power-on'!B452,1))  +  ISNUMBER(SEARCH("10 31",'power-on'!B452,1))  +  ISNUMBER(SEARCH("70 30",'power-on'!B452,1))  +  ISNUMBER(SEARCH("70 31",'power-on'!B452,1))  +  ISNUMBER(SEARCH("77 30",'power-on'!B452,1))  +  ISNUMBER(SEARCH("77 31",'power-on'!B452,1)),1,0)</f>
        <v>0</v>
      </c>
    </row>
    <row r="454" spans="2:22" x14ac:dyDescent="0.25">
      <c r="B454" s="1"/>
      <c r="V454">
        <f>IF(    ISNUMBER(SEARCH("10 30",'power-on'!B453,1))  +  ISNUMBER(SEARCH("10 31",'power-on'!B453,1))  +  ISNUMBER(SEARCH("70 30",'power-on'!B453,1))  +  ISNUMBER(SEARCH("70 31",'power-on'!B453,1))  +  ISNUMBER(SEARCH("77 30",'power-on'!B453,1))  +  ISNUMBER(SEARCH("77 31",'power-on'!B453,1)),1,0)</f>
        <v>0</v>
      </c>
    </row>
    <row r="455" spans="2:22" x14ac:dyDescent="0.25">
      <c r="B455" s="1"/>
      <c r="V455">
        <f>IF(    ISNUMBER(SEARCH("10 30",'power-on'!B454,1))  +  ISNUMBER(SEARCH("10 31",'power-on'!B454,1))  +  ISNUMBER(SEARCH("70 30",'power-on'!B454,1))  +  ISNUMBER(SEARCH("70 31",'power-on'!B454,1))  +  ISNUMBER(SEARCH("77 30",'power-on'!B454,1))  +  ISNUMBER(SEARCH("77 31",'power-on'!B454,1)),1,0)</f>
        <v>0</v>
      </c>
    </row>
    <row r="456" spans="2:22" x14ac:dyDescent="0.25">
      <c r="B456" s="1"/>
      <c r="V456">
        <f>IF(    ISNUMBER(SEARCH("10 30",'power-on'!B455,1))  +  ISNUMBER(SEARCH("10 31",'power-on'!B455,1))  +  ISNUMBER(SEARCH("70 30",'power-on'!B455,1))  +  ISNUMBER(SEARCH("70 31",'power-on'!B455,1))  +  ISNUMBER(SEARCH("77 30",'power-on'!B455,1))  +  ISNUMBER(SEARCH("77 31",'power-on'!B455,1)),1,0)</f>
        <v>0</v>
      </c>
    </row>
    <row r="457" spans="2:22" x14ac:dyDescent="0.25">
      <c r="B457" s="1"/>
      <c r="V457">
        <f>IF(    ISNUMBER(SEARCH("10 30",'power-on'!B456,1))  +  ISNUMBER(SEARCH("10 31",'power-on'!B456,1))  +  ISNUMBER(SEARCH("70 30",'power-on'!B456,1))  +  ISNUMBER(SEARCH("70 31",'power-on'!B456,1))  +  ISNUMBER(SEARCH("77 30",'power-on'!B456,1))  +  ISNUMBER(SEARCH("77 31",'power-on'!B456,1)),1,0)</f>
        <v>0</v>
      </c>
    </row>
    <row r="458" spans="2:22" x14ac:dyDescent="0.25">
      <c r="B458" s="1"/>
      <c r="V458">
        <f>IF(    ISNUMBER(SEARCH("10 30",'power-on'!B457,1))  +  ISNUMBER(SEARCH("10 31",'power-on'!B457,1))  +  ISNUMBER(SEARCH("70 30",'power-on'!B457,1))  +  ISNUMBER(SEARCH("70 31",'power-on'!B457,1))  +  ISNUMBER(SEARCH("77 30",'power-on'!B457,1))  +  ISNUMBER(SEARCH("77 31",'power-on'!B457,1)),1,0)</f>
        <v>0</v>
      </c>
    </row>
    <row r="459" spans="2:22" x14ac:dyDescent="0.25">
      <c r="B459" s="1"/>
      <c r="V459">
        <f>IF(    ISNUMBER(SEARCH("10 30",'power-on'!B458,1))  +  ISNUMBER(SEARCH("10 31",'power-on'!B458,1))  +  ISNUMBER(SEARCH("70 30",'power-on'!B458,1))  +  ISNUMBER(SEARCH("70 31",'power-on'!B458,1))  +  ISNUMBER(SEARCH("77 30",'power-on'!B458,1))  +  ISNUMBER(SEARCH("77 31",'power-on'!B458,1)),1,0)</f>
        <v>0</v>
      </c>
    </row>
    <row r="460" spans="2:22" x14ac:dyDescent="0.25">
      <c r="B460" s="1"/>
      <c r="V460">
        <f>IF(    ISNUMBER(SEARCH("10 30",'power-on'!B459,1))  +  ISNUMBER(SEARCH("10 31",'power-on'!B459,1))  +  ISNUMBER(SEARCH("70 30",'power-on'!B459,1))  +  ISNUMBER(SEARCH("70 31",'power-on'!B459,1))  +  ISNUMBER(SEARCH("77 30",'power-on'!B459,1))  +  ISNUMBER(SEARCH("77 31",'power-on'!B459,1)),1,0)</f>
        <v>0</v>
      </c>
    </row>
    <row r="461" spans="2:22" x14ac:dyDescent="0.25">
      <c r="B461" s="1"/>
      <c r="V461">
        <f>IF(    ISNUMBER(SEARCH("10 30",'power-on'!B460,1))  +  ISNUMBER(SEARCH("10 31",'power-on'!B460,1))  +  ISNUMBER(SEARCH("70 30",'power-on'!B460,1))  +  ISNUMBER(SEARCH("70 31",'power-on'!B460,1))  +  ISNUMBER(SEARCH("77 30",'power-on'!B460,1))  +  ISNUMBER(SEARCH("77 31",'power-on'!B460,1)),1,0)</f>
        <v>0</v>
      </c>
    </row>
    <row r="462" spans="2:22" x14ac:dyDescent="0.25">
      <c r="B462" s="1"/>
      <c r="V462">
        <f>IF(    ISNUMBER(SEARCH("10 30",'power-on'!B461,1))  +  ISNUMBER(SEARCH("10 31",'power-on'!B461,1))  +  ISNUMBER(SEARCH("70 30",'power-on'!B461,1))  +  ISNUMBER(SEARCH("70 31",'power-on'!B461,1))  +  ISNUMBER(SEARCH("77 30",'power-on'!B461,1))  +  ISNUMBER(SEARCH("77 31",'power-on'!B461,1)),1,0)</f>
        <v>0</v>
      </c>
    </row>
    <row r="463" spans="2:22" x14ac:dyDescent="0.25">
      <c r="B463" s="1"/>
      <c r="V463">
        <f>IF(    ISNUMBER(SEARCH("10 30",'power-on'!B462,1))  +  ISNUMBER(SEARCH("10 31",'power-on'!B462,1))  +  ISNUMBER(SEARCH("70 30",'power-on'!B462,1))  +  ISNUMBER(SEARCH("70 31",'power-on'!B462,1))  +  ISNUMBER(SEARCH("77 30",'power-on'!B462,1))  +  ISNUMBER(SEARCH("77 31",'power-on'!B462,1)),1,0)</f>
        <v>0</v>
      </c>
    </row>
    <row r="464" spans="2:22" x14ac:dyDescent="0.25">
      <c r="B464" s="1"/>
      <c r="V464">
        <f>IF(    ISNUMBER(SEARCH("10 30",'power-on'!B463,1))  +  ISNUMBER(SEARCH("10 31",'power-on'!B463,1))  +  ISNUMBER(SEARCH("70 30",'power-on'!B463,1))  +  ISNUMBER(SEARCH("70 31",'power-on'!B463,1))  +  ISNUMBER(SEARCH("77 30",'power-on'!B463,1))  +  ISNUMBER(SEARCH("77 31",'power-on'!B463,1)),1,0)</f>
        <v>0</v>
      </c>
    </row>
    <row r="465" spans="2:22" x14ac:dyDescent="0.25">
      <c r="B465" s="1"/>
      <c r="V465">
        <f>IF(    ISNUMBER(SEARCH("10 30",'power-on'!B464,1))  +  ISNUMBER(SEARCH("10 31",'power-on'!B464,1))  +  ISNUMBER(SEARCH("70 30",'power-on'!B464,1))  +  ISNUMBER(SEARCH("70 31",'power-on'!B464,1))  +  ISNUMBER(SEARCH("77 30",'power-on'!B464,1))  +  ISNUMBER(SEARCH("77 31",'power-on'!B464,1)),1,0)</f>
        <v>0</v>
      </c>
    </row>
    <row r="466" spans="2:22" x14ac:dyDescent="0.25">
      <c r="B466" s="1"/>
      <c r="V466">
        <f>IF(    ISNUMBER(SEARCH("10 30",'power-on'!B465,1))  +  ISNUMBER(SEARCH("10 31",'power-on'!B465,1))  +  ISNUMBER(SEARCH("70 30",'power-on'!B465,1))  +  ISNUMBER(SEARCH("70 31",'power-on'!B465,1))  +  ISNUMBER(SEARCH("77 30",'power-on'!B465,1))  +  ISNUMBER(SEARCH("77 31",'power-on'!B465,1)),1,0)</f>
        <v>0</v>
      </c>
    </row>
    <row r="467" spans="2:22" x14ac:dyDescent="0.25">
      <c r="B467" s="1"/>
      <c r="V467">
        <f>IF(    ISNUMBER(SEARCH("10 30",'power-on'!B466,1))  +  ISNUMBER(SEARCH("10 31",'power-on'!B466,1))  +  ISNUMBER(SEARCH("70 30",'power-on'!B466,1))  +  ISNUMBER(SEARCH("70 31",'power-on'!B466,1))  +  ISNUMBER(SEARCH("77 30",'power-on'!B466,1))  +  ISNUMBER(SEARCH("77 31",'power-on'!B466,1)),1,0)</f>
        <v>0</v>
      </c>
    </row>
    <row r="468" spans="2:22" x14ac:dyDescent="0.25">
      <c r="B468" s="1"/>
      <c r="V468">
        <f>IF(    ISNUMBER(SEARCH("10 30",'power-on'!B467,1))  +  ISNUMBER(SEARCH("10 31",'power-on'!B467,1))  +  ISNUMBER(SEARCH("70 30",'power-on'!B467,1))  +  ISNUMBER(SEARCH("70 31",'power-on'!B467,1))  +  ISNUMBER(SEARCH("77 30",'power-on'!B467,1))  +  ISNUMBER(SEARCH("77 31",'power-on'!B467,1)),1,0)</f>
        <v>0</v>
      </c>
    </row>
    <row r="469" spans="2:22" x14ac:dyDescent="0.25">
      <c r="B469" s="1"/>
      <c r="V469">
        <f>IF(    ISNUMBER(SEARCH("10 30",'power-on'!B468,1))  +  ISNUMBER(SEARCH("10 31",'power-on'!B468,1))  +  ISNUMBER(SEARCH("70 30",'power-on'!B468,1))  +  ISNUMBER(SEARCH("70 31",'power-on'!B468,1))  +  ISNUMBER(SEARCH("77 30",'power-on'!B468,1))  +  ISNUMBER(SEARCH("77 31",'power-on'!B468,1)),1,0)</f>
        <v>0</v>
      </c>
    </row>
    <row r="470" spans="2:22" x14ac:dyDescent="0.25">
      <c r="B470" s="1"/>
      <c r="V470">
        <f>IF(    ISNUMBER(SEARCH("10 30",'power-on'!B469,1))  +  ISNUMBER(SEARCH("10 31",'power-on'!B469,1))  +  ISNUMBER(SEARCH("70 30",'power-on'!B469,1))  +  ISNUMBER(SEARCH("70 31",'power-on'!B469,1))  +  ISNUMBER(SEARCH("77 30",'power-on'!B469,1))  +  ISNUMBER(SEARCH("77 31",'power-on'!B469,1)),1,0)</f>
        <v>0</v>
      </c>
    </row>
    <row r="471" spans="2:22" x14ac:dyDescent="0.25">
      <c r="B471" s="1"/>
      <c r="V471">
        <f>IF(    ISNUMBER(SEARCH("10 30",'power-on'!B470,1))  +  ISNUMBER(SEARCH("10 31",'power-on'!B470,1))  +  ISNUMBER(SEARCH("70 30",'power-on'!B470,1))  +  ISNUMBER(SEARCH("70 31",'power-on'!B470,1))  +  ISNUMBER(SEARCH("77 30",'power-on'!B470,1))  +  ISNUMBER(SEARCH("77 31",'power-on'!B470,1)),1,0)</f>
        <v>0</v>
      </c>
    </row>
    <row r="472" spans="2:22" x14ac:dyDescent="0.25">
      <c r="B472" s="1"/>
      <c r="V472">
        <f>IF(    ISNUMBER(SEARCH("10 30",'power-on'!B471,1))  +  ISNUMBER(SEARCH("10 31",'power-on'!B471,1))  +  ISNUMBER(SEARCH("70 30",'power-on'!B471,1))  +  ISNUMBER(SEARCH("70 31",'power-on'!B471,1))  +  ISNUMBER(SEARCH("77 30",'power-on'!B471,1))  +  ISNUMBER(SEARCH("77 31",'power-on'!B471,1)),1,0)</f>
        <v>0</v>
      </c>
    </row>
    <row r="473" spans="2:22" x14ac:dyDescent="0.25">
      <c r="B473" s="1"/>
      <c r="V473">
        <f>IF(    ISNUMBER(SEARCH("10 30",'power-on'!B472,1))  +  ISNUMBER(SEARCH("10 31",'power-on'!B472,1))  +  ISNUMBER(SEARCH("70 30",'power-on'!B472,1))  +  ISNUMBER(SEARCH("70 31",'power-on'!B472,1))  +  ISNUMBER(SEARCH("77 30",'power-on'!B472,1))  +  ISNUMBER(SEARCH("77 31",'power-on'!B472,1)),1,0)</f>
        <v>0</v>
      </c>
    </row>
    <row r="474" spans="2:22" x14ac:dyDescent="0.25">
      <c r="B474" s="1"/>
      <c r="V474">
        <f>IF(    ISNUMBER(SEARCH("10 30",'power-on'!B473,1))  +  ISNUMBER(SEARCH("10 31",'power-on'!B473,1))  +  ISNUMBER(SEARCH("70 30",'power-on'!B473,1))  +  ISNUMBER(SEARCH("70 31",'power-on'!B473,1))  +  ISNUMBER(SEARCH("77 30",'power-on'!B473,1))  +  ISNUMBER(SEARCH("77 31",'power-on'!B473,1)),1,0)</f>
        <v>0</v>
      </c>
    </row>
    <row r="475" spans="2:22" x14ac:dyDescent="0.25">
      <c r="B475" s="1"/>
      <c r="V475">
        <f>IF(    ISNUMBER(SEARCH("10 30",'power-on'!B474,1))  +  ISNUMBER(SEARCH("10 31",'power-on'!B474,1))  +  ISNUMBER(SEARCH("70 30",'power-on'!B474,1))  +  ISNUMBER(SEARCH("70 31",'power-on'!B474,1))  +  ISNUMBER(SEARCH("77 30",'power-on'!B474,1))  +  ISNUMBER(SEARCH("77 31",'power-on'!B474,1)),1,0)</f>
        <v>0</v>
      </c>
    </row>
    <row r="476" spans="2:22" x14ac:dyDescent="0.25">
      <c r="B476" s="1"/>
      <c r="V476">
        <f>IF(    ISNUMBER(SEARCH("10 30",'power-on'!B475,1))  +  ISNUMBER(SEARCH("10 31",'power-on'!B475,1))  +  ISNUMBER(SEARCH("70 30",'power-on'!B475,1))  +  ISNUMBER(SEARCH("70 31",'power-on'!B475,1))  +  ISNUMBER(SEARCH("77 30",'power-on'!B475,1))  +  ISNUMBER(SEARCH("77 31",'power-on'!B475,1)),1,0)</f>
        <v>0</v>
      </c>
    </row>
    <row r="477" spans="2:22" x14ac:dyDescent="0.25">
      <c r="B477" s="1"/>
      <c r="V477">
        <f>IF(    ISNUMBER(SEARCH("10 30",'power-on'!B476,1))  +  ISNUMBER(SEARCH("10 31",'power-on'!B476,1))  +  ISNUMBER(SEARCH("70 30",'power-on'!B476,1))  +  ISNUMBER(SEARCH("70 31",'power-on'!B476,1))  +  ISNUMBER(SEARCH("77 30",'power-on'!B476,1))  +  ISNUMBER(SEARCH("77 31",'power-on'!B476,1)),1,0)</f>
        <v>0</v>
      </c>
    </row>
    <row r="478" spans="2:22" x14ac:dyDescent="0.25">
      <c r="B478" s="1"/>
      <c r="V478">
        <f>IF(    ISNUMBER(SEARCH("10 30",'power-on'!B477,1))  +  ISNUMBER(SEARCH("10 31",'power-on'!B477,1))  +  ISNUMBER(SEARCH("70 30",'power-on'!B477,1))  +  ISNUMBER(SEARCH("70 31",'power-on'!B477,1))  +  ISNUMBER(SEARCH("77 30",'power-on'!B477,1))  +  ISNUMBER(SEARCH("77 31",'power-on'!B477,1)),1,0)</f>
        <v>0</v>
      </c>
    </row>
    <row r="479" spans="2:22" x14ac:dyDescent="0.25">
      <c r="B479" s="1"/>
      <c r="V479">
        <f>IF(    ISNUMBER(SEARCH("10 30",'power-on'!B478,1))  +  ISNUMBER(SEARCH("10 31",'power-on'!B478,1))  +  ISNUMBER(SEARCH("70 30",'power-on'!B478,1))  +  ISNUMBER(SEARCH("70 31",'power-on'!B478,1))  +  ISNUMBER(SEARCH("77 30",'power-on'!B478,1))  +  ISNUMBER(SEARCH("77 31",'power-on'!B478,1)),1,0)</f>
        <v>0</v>
      </c>
    </row>
    <row r="480" spans="2:22" x14ac:dyDescent="0.25">
      <c r="B480" s="1"/>
      <c r="V480">
        <f>IF(    ISNUMBER(SEARCH("10 30",'power-on'!B479,1))  +  ISNUMBER(SEARCH("10 31",'power-on'!B479,1))  +  ISNUMBER(SEARCH("70 30",'power-on'!B479,1))  +  ISNUMBER(SEARCH("70 31",'power-on'!B479,1))  +  ISNUMBER(SEARCH("77 30",'power-on'!B479,1))  +  ISNUMBER(SEARCH("77 31",'power-on'!B479,1)),1,0)</f>
        <v>0</v>
      </c>
    </row>
    <row r="481" spans="2:22" x14ac:dyDescent="0.25">
      <c r="B481" s="1"/>
      <c r="V481">
        <f>IF(    ISNUMBER(SEARCH("10 30",'power-on'!B480,1))  +  ISNUMBER(SEARCH("10 31",'power-on'!B480,1))  +  ISNUMBER(SEARCH("70 30",'power-on'!B480,1))  +  ISNUMBER(SEARCH("70 31",'power-on'!B480,1))  +  ISNUMBER(SEARCH("77 30",'power-on'!B480,1))  +  ISNUMBER(SEARCH("77 31",'power-on'!B480,1)),1,0)</f>
        <v>0</v>
      </c>
    </row>
    <row r="482" spans="2:22" x14ac:dyDescent="0.25">
      <c r="B482" s="1"/>
      <c r="V482">
        <f>IF(    ISNUMBER(SEARCH("10 30",'power-on'!B481,1))  +  ISNUMBER(SEARCH("10 31",'power-on'!B481,1))  +  ISNUMBER(SEARCH("70 30",'power-on'!B481,1))  +  ISNUMBER(SEARCH("70 31",'power-on'!B481,1))  +  ISNUMBER(SEARCH("77 30",'power-on'!B481,1))  +  ISNUMBER(SEARCH("77 31",'power-on'!B481,1)),1,0)</f>
        <v>0</v>
      </c>
    </row>
    <row r="483" spans="2:22" x14ac:dyDescent="0.25">
      <c r="B483" s="1"/>
      <c r="V483">
        <f>IF(    ISNUMBER(SEARCH("10 30",'power-on'!B482,1))  +  ISNUMBER(SEARCH("10 31",'power-on'!B482,1))  +  ISNUMBER(SEARCH("70 30",'power-on'!B482,1))  +  ISNUMBER(SEARCH("70 31",'power-on'!B482,1))  +  ISNUMBER(SEARCH("77 30",'power-on'!B482,1))  +  ISNUMBER(SEARCH("77 31",'power-on'!B482,1)),1,0)</f>
        <v>0</v>
      </c>
    </row>
    <row r="484" spans="2:22" x14ac:dyDescent="0.25">
      <c r="B484" s="1"/>
      <c r="V484">
        <f>IF(    ISNUMBER(SEARCH("10 30",'power-on'!B483,1))  +  ISNUMBER(SEARCH("10 31",'power-on'!B483,1))  +  ISNUMBER(SEARCH("70 30",'power-on'!B483,1))  +  ISNUMBER(SEARCH("70 31",'power-on'!B483,1))  +  ISNUMBER(SEARCH("77 30",'power-on'!B483,1))  +  ISNUMBER(SEARCH("77 31",'power-on'!B483,1)),1,0)</f>
        <v>0</v>
      </c>
    </row>
    <row r="485" spans="2:22" x14ac:dyDescent="0.25">
      <c r="B485" s="1"/>
      <c r="V485">
        <f>IF(    ISNUMBER(SEARCH("10 30",'power-on'!B484,1))  +  ISNUMBER(SEARCH("10 31",'power-on'!B484,1))  +  ISNUMBER(SEARCH("70 30",'power-on'!B484,1))  +  ISNUMBER(SEARCH("70 31",'power-on'!B484,1))  +  ISNUMBER(SEARCH("77 30",'power-on'!B484,1))  +  ISNUMBER(SEARCH("77 31",'power-on'!B484,1)),1,0)</f>
        <v>0</v>
      </c>
    </row>
    <row r="486" spans="2:22" x14ac:dyDescent="0.25">
      <c r="B486" s="1"/>
      <c r="V486">
        <f>IF(    ISNUMBER(SEARCH("10 30",'power-on'!B485,1))  +  ISNUMBER(SEARCH("10 31",'power-on'!B485,1))  +  ISNUMBER(SEARCH("70 30",'power-on'!B485,1))  +  ISNUMBER(SEARCH("70 31",'power-on'!B485,1))  +  ISNUMBER(SEARCH("77 30",'power-on'!B485,1))  +  ISNUMBER(SEARCH("77 31",'power-on'!B485,1)),1,0)</f>
        <v>0</v>
      </c>
    </row>
    <row r="487" spans="2:22" x14ac:dyDescent="0.25">
      <c r="B487" s="1"/>
      <c r="V487">
        <f>IF(    ISNUMBER(SEARCH("10 30",'power-on'!B486,1))  +  ISNUMBER(SEARCH("10 31",'power-on'!B486,1))  +  ISNUMBER(SEARCH("70 30",'power-on'!B486,1))  +  ISNUMBER(SEARCH("70 31",'power-on'!B486,1))  +  ISNUMBER(SEARCH("77 30",'power-on'!B486,1))  +  ISNUMBER(SEARCH("77 31",'power-on'!B486,1)),1,0)</f>
        <v>0</v>
      </c>
    </row>
    <row r="488" spans="2:22" x14ac:dyDescent="0.25">
      <c r="B488" s="1"/>
      <c r="V488">
        <f>IF(    ISNUMBER(SEARCH("10 30",'power-on'!B487,1))  +  ISNUMBER(SEARCH("10 31",'power-on'!B487,1))  +  ISNUMBER(SEARCH("70 30",'power-on'!B487,1))  +  ISNUMBER(SEARCH("70 31",'power-on'!B487,1))  +  ISNUMBER(SEARCH("77 30",'power-on'!B487,1))  +  ISNUMBER(SEARCH("77 31",'power-on'!B487,1)),1,0)</f>
        <v>0</v>
      </c>
    </row>
    <row r="489" spans="2:22" x14ac:dyDescent="0.25">
      <c r="B489" s="1"/>
      <c r="V489">
        <f>IF(    ISNUMBER(SEARCH("10 30",'power-on'!B488,1))  +  ISNUMBER(SEARCH("10 31",'power-on'!B488,1))  +  ISNUMBER(SEARCH("70 30",'power-on'!B488,1))  +  ISNUMBER(SEARCH("70 31",'power-on'!B488,1))  +  ISNUMBER(SEARCH("77 30",'power-on'!B488,1))  +  ISNUMBER(SEARCH("77 31",'power-on'!B488,1)),1,0)</f>
        <v>0</v>
      </c>
    </row>
    <row r="490" spans="2:22" x14ac:dyDescent="0.25">
      <c r="B490" s="1"/>
      <c r="V490">
        <f>IF(    ISNUMBER(SEARCH("10 30",'power-on'!B489,1))  +  ISNUMBER(SEARCH("10 31",'power-on'!B489,1))  +  ISNUMBER(SEARCH("70 30",'power-on'!B489,1))  +  ISNUMBER(SEARCH("70 31",'power-on'!B489,1))  +  ISNUMBER(SEARCH("77 30",'power-on'!B489,1))  +  ISNUMBER(SEARCH("77 31",'power-on'!B489,1)),1,0)</f>
        <v>0</v>
      </c>
    </row>
    <row r="491" spans="2:22" x14ac:dyDescent="0.25">
      <c r="B491" s="1"/>
      <c r="V491">
        <f>IF(    ISNUMBER(SEARCH("10 30",'power-on'!B490,1))  +  ISNUMBER(SEARCH("10 31",'power-on'!B490,1))  +  ISNUMBER(SEARCH("70 30",'power-on'!B490,1))  +  ISNUMBER(SEARCH("70 31",'power-on'!B490,1))  +  ISNUMBER(SEARCH("77 30",'power-on'!B490,1))  +  ISNUMBER(SEARCH("77 31",'power-on'!B490,1)),1,0)</f>
        <v>0</v>
      </c>
    </row>
    <row r="492" spans="2:22" x14ac:dyDescent="0.25">
      <c r="B492" s="1"/>
      <c r="V492">
        <f>IF(    ISNUMBER(SEARCH("10 30",'power-on'!B491,1))  +  ISNUMBER(SEARCH("10 31",'power-on'!B491,1))  +  ISNUMBER(SEARCH("70 30",'power-on'!B491,1))  +  ISNUMBER(SEARCH("70 31",'power-on'!B491,1))  +  ISNUMBER(SEARCH("77 30",'power-on'!B491,1))  +  ISNUMBER(SEARCH("77 31",'power-on'!B491,1)),1,0)</f>
        <v>0</v>
      </c>
    </row>
    <row r="493" spans="2:22" x14ac:dyDescent="0.25">
      <c r="B493" s="1"/>
      <c r="V493">
        <f>IF(    ISNUMBER(SEARCH("10 30",'power-on'!B492,1))  +  ISNUMBER(SEARCH("10 31",'power-on'!B492,1))  +  ISNUMBER(SEARCH("70 30",'power-on'!B492,1))  +  ISNUMBER(SEARCH("70 31",'power-on'!B492,1))  +  ISNUMBER(SEARCH("77 30",'power-on'!B492,1))  +  ISNUMBER(SEARCH("77 31",'power-on'!B492,1)),1,0)</f>
        <v>0</v>
      </c>
    </row>
    <row r="494" spans="2:22" x14ac:dyDescent="0.25">
      <c r="B494" s="1"/>
      <c r="V494">
        <f>IF(    ISNUMBER(SEARCH("10 30",'power-on'!B493,1))  +  ISNUMBER(SEARCH("10 31",'power-on'!B493,1))  +  ISNUMBER(SEARCH("70 30",'power-on'!B493,1))  +  ISNUMBER(SEARCH("70 31",'power-on'!B493,1))  +  ISNUMBER(SEARCH("77 30",'power-on'!B493,1))  +  ISNUMBER(SEARCH("77 31",'power-on'!B493,1)),1,0)</f>
        <v>0</v>
      </c>
    </row>
    <row r="495" spans="2:22" x14ac:dyDescent="0.25">
      <c r="B495" s="1"/>
      <c r="V495">
        <f>IF(    ISNUMBER(SEARCH("10 30",'power-on'!B494,1))  +  ISNUMBER(SEARCH("10 31",'power-on'!B494,1))  +  ISNUMBER(SEARCH("70 30",'power-on'!B494,1))  +  ISNUMBER(SEARCH("70 31",'power-on'!B494,1))  +  ISNUMBER(SEARCH("77 30",'power-on'!B494,1))  +  ISNUMBER(SEARCH("77 31",'power-on'!B494,1)),1,0)</f>
        <v>0</v>
      </c>
    </row>
    <row r="496" spans="2:22" x14ac:dyDescent="0.25">
      <c r="B496" s="1"/>
      <c r="V496">
        <f>IF(    ISNUMBER(SEARCH("10 30",'power-on'!B495,1))  +  ISNUMBER(SEARCH("10 31",'power-on'!B495,1))  +  ISNUMBER(SEARCH("70 30",'power-on'!B495,1))  +  ISNUMBER(SEARCH("70 31",'power-on'!B495,1))  +  ISNUMBER(SEARCH("77 30",'power-on'!B495,1))  +  ISNUMBER(SEARCH("77 31",'power-on'!B495,1)),1,0)</f>
        <v>0</v>
      </c>
    </row>
    <row r="497" spans="2:22" x14ac:dyDescent="0.25">
      <c r="B497" s="1"/>
      <c r="V497">
        <f>IF(    ISNUMBER(SEARCH("10 30",'power-on'!B496,1))  +  ISNUMBER(SEARCH("10 31",'power-on'!B496,1))  +  ISNUMBER(SEARCH("70 30",'power-on'!B496,1))  +  ISNUMBER(SEARCH("70 31",'power-on'!B496,1))  +  ISNUMBER(SEARCH("77 30",'power-on'!B496,1))  +  ISNUMBER(SEARCH("77 31",'power-on'!B496,1)),1,0)</f>
        <v>0</v>
      </c>
    </row>
    <row r="498" spans="2:22" x14ac:dyDescent="0.25">
      <c r="B498" s="1"/>
      <c r="V498">
        <f>IF(    ISNUMBER(SEARCH("10 30",'power-on'!B497,1))  +  ISNUMBER(SEARCH("10 31",'power-on'!B497,1))  +  ISNUMBER(SEARCH("70 30",'power-on'!B497,1))  +  ISNUMBER(SEARCH("70 31",'power-on'!B497,1))  +  ISNUMBER(SEARCH("77 30",'power-on'!B497,1))  +  ISNUMBER(SEARCH("77 31",'power-on'!B497,1)),1,0)</f>
        <v>0</v>
      </c>
    </row>
    <row r="499" spans="2:22" x14ac:dyDescent="0.25">
      <c r="B499" s="1"/>
      <c r="V499">
        <f>IF(    ISNUMBER(SEARCH("10 30",'power-on'!B498,1))  +  ISNUMBER(SEARCH("10 31",'power-on'!B498,1))  +  ISNUMBER(SEARCH("70 30",'power-on'!B498,1))  +  ISNUMBER(SEARCH("70 31",'power-on'!B498,1))  +  ISNUMBER(SEARCH("77 30",'power-on'!B498,1))  +  ISNUMBER(SEARCH("77 31",'power-on'!B498,1)),1,0)</f>
        <v>0</v>
      </c>
    </row>
    <row r="500" spans="2:22" x14ac:dyDescent="0.25">
      <c r="B500" s="1"/>
      <c r="V500">
        <f>IF(    ISNUMBER(SEARCH("10 30",'power-on'!B499,1))  +  ISNUMBER(SEARCH("10 31",'power-on'!B499,1))  +  ISNUMBER(SEARCH("70 30",'power-on'!B499,1))  +  ISNUMBER(SEARCH("70 31",'power-on'!B499,1))  +  ISNUMBER(SEARCH("77 30",'power-on'!B499,1))  +  ISNUMBER(SEARCH("77 31",'power-on'!B499,1)),1,0)</f>
        <v>0</v>
      </c>
    </row>
    <row r="501" spans="2:22" x14ac:dyDescent="0.25">
      <c r="B501" s="1"/>
      <c r="V501">
        <f>IF(    ISNUMBER(SEARCH("10 30",'power-on'!B500,1))  +  ISNUMBER(SEARCH("10 31",'power-on'!B500,1))  +  ISNUMBER(SEARCH("70 30",'power-on'!B500,1))  +  ISNUMBER(SEARCH("70 31",'power-on'!B500,1))  +  ISNUMBER(SEARCH("77 30",'power-on'!B500,1))  +  ISNUMBER(SEARCH("77 31",'power-on'!B500,1)),1,0)</f>
        <v>0</v>
      </c>
    </row>
    <row r="502" spans="2:22" x14ac:dyDescent="0.25">
      <c r="B502" s="1"/>
      <c r="V502">
        <f>IF(    ISNUMBER(SEARCH("10 30",'power-on'!B501,1))  +  ISNUMBER(SEARCH("10 31",'power-on'!B501,1))  +  ISNUMBER(SEARCH("70 30",'power-on'!B501,1))  +  ISNUMBER(SEARCH("70 31",'power-on'!B501,1))  +  ISNUMBER(SEARCH("77 30",'power-on'!B501,1))  +  ISNUMBER(SEARCH("77 31",'power-on'!B501,1)),1,0)</f>
        <v>0</v>
      </c>
    </row>
    <row r="503" spans="2:22" x14ac:dyDescent="0.25">
      <c r="B503" s="1"/>
      <c r="V503">
        <f>IF(    ISNUMBER(SEARCH("10 30",'power-on'!B502,1))  +  ISNUMBER(SEARCH("10 31",'power-on'!B502,1))  +  ISNUMBER(SEARCH("70 30",'power-on'!B502,1))  +  ISNUMBER(SEARCH("70 31",'power-on'!B502,1))  +  ISNUMBER(SEARCH("77 30",'power-on'!B502,1))  +  ISNUMBER(SEARCH("77 31",'power-on'!B502,1)),1,0)</f>
        <v>0</v>
      </c>
    </row>
    <row r="504" spans="2:22" x14ac:dyDescent="0.25">
      <c r="B504" s="1"/>
      <c r="V504">
        <f>IF(    ISNUMBER(SEARCH("10 30",'power-on'!B503,1))  +  ISNUMBER(SEARCH("10 31",'power-on'!B503,1))  +  ISNUMBER(SEARCH("70 30",'power-on'!B503,1))  +  ISNUMBER(SEARCH("70 31",'power-on'!B503,1))  +  ISNUMBER(SEARCH("77 30",'power-on'!B503,1))  +  ISNUMBER(SEARCH("77 31",'power-on'!B503,1)),1,0)</f>
        <v>0</v>
      </c>
    </row>
    <row r="505" spans="2:22" x14ac:dyDescent="0.25">
      <c r="B505" s="1"/>
      <c r="V505">
        <f>IF(    ISNUMBER(SEARCH("10 30",'power-on'!B504,1))  +  ISNUMBER(SEARCH("10 31",'power-on'!B504,1))  +  ISNUMBER(SEARCH("70 30",'power-on'!B504,1))  +  ISNUMBER(SEARCH("70 31",'power-on'!B504,1))  +  ISNUMBER(SEARCH("77 30",'power-on'!B504,1))  +  ISNUMBER(SEARCH("77 31",'power-on'!B504,1)),1,0)</f>
        <v>0</v>
      </c>
    </row>
    <row r="506" spans="2:22" x14ac:dyDescent="0.25">
      <c r="B506" s="1"/>
      <c r="V506">
        <f>IF(    ISNUMBER(SEARCH("10 30",'power-on'!B505,1))  +  ISNUMBER(SEARCH("10 31",'power-on'!B505,1))  +  ISNUMBER(SEARCH("70 30",'power-on'!B505,1))  +  ISNUMBER(SEARCH("70 31",'power-on'!B505,1))  +  ISNUMBER(SEARCH("77 30",'power-on'!B505,1))  +  ISNUMBER(SEARCH("77 31",'power-on'!B505,1)),1,0)</f>
        <v>0</v>
      </c>
    </row>
    <row r="507" spans="2:22" x14ac:dyDescent="0.25">
      <c r="B507" s="1"/>
      <c r="V507">
        <f>IF(    ISNUMBER(SEARCH("10 30",'power-on'!B506,1))  +  ISNUMBER(SEARCH("10 31",'power-on'!B506,1))  +  ISNUMBER(SEARCH("70 30",'power-on'!B506,1))  +  ISNUMBER(SEARCH("70 31",'power-on'!B506,1))  +  ISNUMBER(SEARCH("77 30",'power-on'!B506,1))  +  ISNUMBER(SEARCH("77 31",'power-on'!B506,1)),1,0)</f>
        <v>0</v>
      </c>
    </row>
    <row r="508" spans="2:22" x14ac:dyDescent="0.25">
      <c r="B508" s="1"/>
      <c r="V508">
        <f>IF(    ISNUMBER(SEARCH("10 30",'power-on'!B507,1))  +  ISNUMBER(SEARCH("10 31",'power-on'!B507,1))  +  ISNUMBER(SEARCH("70 30",'power-on'!B507,1))  +  ISNUMBER(SEARCH("70 31",'power-on'!B507,1))  +  ISNUMBER(SEARCH("77 30",'power-on'!B507,1))  +  ISNUMBER(SEARCH("77 31",'power-on'!B507,1)),1,0)</f>
        <v>0</v>
      </c>
    </row>
    <row r="509" spans="2:22" x14ac:dyDescent="0.25">
      <c r="B509" s="1"/>
      <c r="V509">
        <f>IF(    ISNUMBER(SEARCH("10 30",'power-on'!B508,1))  +  ISNUMBER(SEARCH("10 31",'power-on'!B508,1))  +  ISNUMBER(SEARCH("70 30",'power-on'!B508,1))  +  ISNUMBER(SEARCH("70 31",'power-on'!B508,1))  +  ISNUMBER(SEARCH("77 30",'power-on'!B508,1))  +  ISNUMBER(SEARCH("77 31",'power-on'!B508,1)),1,0)</f>
        <v>0</v>
      </c>
    </row>
    <row r="510" spans="2:22" x14ac:dyDescent="0.25">
      <c r="B510" s="1"/>
      <c r="V510">
        <f>IF(    ISNUMBER(SEARCH("10 30",'power-on'!B509,1))  +  ISNUMBER(SEARCH("10 31",'power-on'!B509,1))  +  ISNUMBER(SEARCH("70 30",'power-on'!B509,1))  +  ISNUMBER(SEARCH("70 31",'power-on'!B509,1))  +  ISNUMBER(SEARCH("77 30",'power-on'!B509,1))  +  ISNUMBER(SEARCH("77 31",'power-on'!B509,1)),1,0)</f>
        <v>0</v>
      </c>
    </row>
    <row r="511" spans="2:22" x14ac:dyDescent="0.25">
      <c r="B511" s="1"/>
      <c r="V511">
        <f>IF(    ISNUMBER(SEARCH("10 30",'power-on'!B510,1))  +  ISNUMBER(SEARCH("10 31",'power-on'!B510,1))  +  ISNUMBER(SEARCH("70 30",'power-on'!B510,1))  +  ISNUMBER(SEARCH("70 31",'power-on'!B510,1))  +  ISNUMBER(SEARCH("77 30",'power-on'!B510,1))  +  ISNUMBER(SEARCH("77 31",'power-on'!B510,1)),1,0)</f>
        <v>0</v>
      </c>
    </row>
    <row r="512" spans="2:22" x14ac:dyDescent="0.25">
      <c r="B512" s="1"/>
      <c r="V512">
        <f>IF(    ISNUMBER(SEARCH("10 30",'power-on'!B511,1))  +  ISNUMBER(SEARCH("10 31",'power-on'!B511,1))  +  ISNUMBER(SEARCH("70 30",'power-on'!B511,1))  +  ISNUMBER(SEARCH("70 31",'power-on'!B511,1))  +  ISNUMBER(SEARCH("77 30",'power-on'!B511,1))  +  ISNUMBER(SEARCH("77 31",'power-on'!B511,1)),1,0)</f>
        <v>0</v>
      </c>
    </row>
    <row r="513" spans="2:22" x14ac:dyDescent="0.25">
      <c r="B513" s="1"/>
      <c r="V513">
        <f>IF(    ISNUMBER(SEARCH("10 30",'power-on'!B512,1))  +  ISNUMBER(SEARCH("10 31",'power-on'!B512,1))  +  ISNUMBER(SEARCH("70 30",'power-on'!B512,1))  +  ISNUMBER(SEARCH("70 31",'power-on'!B512,1))  +  ISNUMBER(SEARCH("77 30",'power-on'!B512,1))  +  ISNUMBER(SEARCH("77 31",'power-on'!B512,1)),1,0)</f>
        <v>0</v>
      </c>
    </row>
    <row r="514" spans="2:22" x14ac:dyDescent="0.25">
      <c r="B514" s="1"/>
      <c r="V514">
        <f>IF(    ISNUMBER(SEARCH("10 30",'power-on'!B513,1))  +  ISNUMBER(SEARCH("10 31",'power-on'!B513,1))  +  ISNUMBER(SEARCH("70 30",'power-on'!B513,1))  +  ISNUMBER(SEARCH("70 31",'power-on'!B513,1))  +  ISNUMBER(SEARCH("77 30",'power-on'!B513,1))  +  ISNUMBER(SEARCH("77 31",'power-on'!B513,1)),1,0)</f>
        <v>0</v>
      </c>
    </row>
    <row r="515" spans="2:22" x14ac:dyDescent="0.25">
      <c r="B515" s="1"/>
      <c r="V515">
        <f>IF(    ISNUMBER(SEARCH("10 30",'power-on'!B514,1))  +  ISNUMBER(SEARCH("10 31",'power-on'!B514,1))  +  ISNUMBER(SEARCH("70 30",'power-on'!B514,1))  +  ISNUMBER(SEARCH("70 31",'power-on'!B514,1))  +  ISNUMBER(SEARCH("77 30",'power-on'!B514,1))  +  ISNUMBER(SEARCH("77 31",'power-on'!B514,1)),1,0)</f>
        <v>0</v>
      </c>
    </row>
    <row r="516" spans="2:22" x14ac:dyDescent="0.25">
      <c r="B516" s="1"/>
      <c r="V516">
        <f>IF(    ISNUMBER(SEARCH("10 30",'power-on'!B515,1))  +  ISNUMBER(SEARCH("10 31",'power-on'!B515,1))  +  ISNUMBER(SEARCH("70 30",'power-on'!B515,1))  +  ISNUMBER(SEARCH("70 31",'power-on'!B515,1))  +  ISNUMBER(SEARCH("77 30",'power-on'!B515,1))  +  ISNUMBER(SEARCH("77 31",'power-on'!B515,1)),1,0)</f>
        <v>0</v>
      </c>
    </row>
    <row r="517" spans="2:22" x14ac:dyDescent="0.25">
      <c r="B517" s="1"/>
      <c r="V517">
        <f>IF(    ISNUMBER(SEARCH("10 30",'power-on'!B516,1))  +  ISNUMBER(SEARCH("10 31",'power-on'!B516,1))  +  ISNUMBER(SEARCH("70 30",'power-on'!B516,1))  +  ISNUMBER(SEARCH("70 31",'power-on'!B516,1))  +  ISNUMBER(SEARCH("77 30",'power-on'!B516,1))  +  ISNUMBER(SEARCH("77 31",'power-on'!B516,1)),1,0)</f>
        <v>0</v>
      </c>
    </row>
    <row r="518" spans="2:22" x14ac:dyDescent="0.25">
      <c r="B518" s="1"/>
      <c r="V518">
        <f>IF(    ISNUMBER(SEARCH("10 30",'power-on'!B517,1))  +  ISNUMBER(SEARCH("10 31",'power-on'!B517,1))  +  ISNUMBER(SEARCH("70 30",'power-on'!B517,1))  +  ISNUMBER(SEARCH("70 31",'power-on'!B517,1))  +  ISNUMBER(SEARCH("77 30",'power-on'!B517,1))  +  ISNUMBER(SEARCH("77 31",'power-on'!B517,1)),1,0)</f>
        <v>0</v>
      </c>
    </row>
    <row r="519" spans="2:22" x14ac:dyDescent="0.25">
      <c r="B519" s="1"/>
      <c r="V519">
        <f>IF(    ISNUMBER(SEARCH("10 30",'power-on'!B518,1))  +  ISNUMBER(SEARCH("10 31",'power-on'!B518,1))  +  ISNUMBER(SEARCH("70 30",'power-on'!B518,1))  +  ISNUMBER(SEARCH("70 31",'power-on'!B518,1))  +  ISNUMBER(SEARCH("77 30",'power-on'!B518,1))  +  ISNUMBER(SEARCH("77 31",'power-on'!B518,1)),1,0)</f>
        <v>0</v>
      </c>
    </row>
    <row r="520" spans="2:22" x14ac:dyDescent="0.25">
      <c r="B520" s="1"/>
      <c r="V520">
        <f>IF(    ISNUMBER(SEARCH("10 30",'power-on'!B519,1))  +  ISNUMBER(SEARCH("10 31",'power-on'!B519,1))  +  ISNUMBER(SEARCH("70 30",'power-on'!B519,1))  +  ISNUMBER(SEARCH("70 31",'power-on'!B519,1))  +  ISNUMBER(SEARCH("77 30",'power-on'!B519,1))  +  ISNUMBER(SEARCH("77 31",'power-on'!B519,1)),1,0)</f>
        <v>0</v>
      </c>
    </row>
    <row r="521" spans="2:22" x14ac:dyDescent="0.25">
      <c r="B521" s="1"/>
      <c r="V521">
        <f>IF(    ISNUMBER(SEARCH("10 30",'power-on'!B520,1))  +  ISNUMBER(SEARCH("10 31",'power-on'!B520,1))  +  ISNUMBER(SEARCH("70 30",'power-on'!B520,1))  +  ISNUMBER(SEARCH("70 31",'power-on'!B520,1))  +  ISNUMBER(SEARCH("77 30",'power-on'!B520,1))  +  ISNUMBER(SEARCH("77 31",'power-on'!B520,1)),1,0)</f>
        <v>0</v>
      </c>
    </row>
    <row r="522" spans="2:22" x14ac:dyDescent="0.25">
      <c r="B522" s="1"/>
      <c r="V522">
        <f>IF(    ISNUMBER(SEARCH("10 30",'power-on'!B521,1))  +  ISNUMBER(SEARCH("10 31",'power-on'!B521,1))  +  ISNUMBER(SEARCH("70 30",'power-on'!B521,1))  +  ISNUMBER(SEARCH("70 31",'power-on'!B521,1))  +  ISNUMBER(SEARCH("77 30",'power-on'!B521,1))  +  ISNUMBER(SEARCH("77 31",'power-on'!B521,1)),1,0)</f>
        <v>0</v>
      </c>
    </row>
    <row r="523" spans="2:22" x14ac:dyDescent="0.25">
      <c r="B523" s="1"/>
      <c r="V523">
        <f>IF(    ISNUMBER(SEARCH("10 30",'power-on'!B522,1))  +  ISNUMBER(SEARCH("10 31",'power-on'!B522,1))  +  ISNUMBER(SEARCH("70 30",'power-on'!B522,1))  +  ISNUMBER(SEARCH("70 31",'power-on'!B522,1))  +  ISNUMBER(SEARCH("77 30",'power-on'!B522,1))  +  ISNUMBER(SEARCH("77 31",'power-on'!B522,1)),1,0)</f>
        <v>0</v>
      </c>
    </row>
    <row r="524" spans="2:22" x14ac:dyDescent="0.25">
      <c r="B524" s="1"/>
      <c r="V524">
        <f>IF(    ISNUMBER(SEARCH("10 30",'power-on'!B523,1))  +  ISNUMBER(SEARCH("10 31",'power-on'!B523,1))  +  ISNUMBER(SEARCH("70 30",'power-on'!B523,1))  +  ISNUMBER(SEARCH("70 31",'power-on'!B523,1))  +  ISNUMBER(SEARCH("77 30",'power-on'!B523,1))  +  ISNUMBER(SEARCH("77 31",'power-on'!B523,1)),1,0)</f>
        <v>0</v>
      </c>
    </row>
    <row r="525" spans="2:22" x14ac:dyDescent="0.25">
      <c r="B525" s="1"/>
      <c r="V525">
        <f>IF(    ISNUMBER(SEARCH("10 30",'power-on'!B524,1))  +  ISNUMBER(SEARCH("10 31",'power-on'!B524,1))  +  ISNUMBER(SEARCH("70 30",'power-on'!B524,1))  +  ISNUMBER(SEARCH("70 31",'power-on'!B524,1))  +  ISNUMBER(SEARCH("77 30",'power-on'!B524,1))  +  ISNUMBER(SEARCH("77 31",'power-on'!B524,1)),1,0)</f>
        <v>0</v>
      </c>
    </row>
    <row r="526" spans="2:22" x14ac:dyDescent="0.25">
      <c r="B526" s="1"/>
      <c r="V526">
        <f>IF(    ISNUMBER(SEARCH("10 30",'power-on'!B525,1))  +  ISNUMBER(SEARCH("10 31",'power-on'!B525,1))  +  ISNUMBER(SEARCH("70 30",'power-on'!B525,1))  +  ISNUMBER(SEARCH("70 31",'power-on'!B525,1))  +  ISNUMBER(SEARCH("77 30",'power-on'!B525,1))  +  ISNUMBER(SEARCH("77 31",'power-on'!B525,1)),1,0)</f>
        <v>0</v>
      </c>
    </row>
    <row r="527" spans="2:22" x14ac:dyDescent="0.25">
      <c r="B527" s="1"/>
      <c r="V527">
        <f>IF(    ISNUMBER(SEARCH("10 30",'power-on'!B526,1))  +  ISNUMBER(SEARCH("10 31",'power-on'!B526,1))  +  ISNUMBER(SEARCH("70 30",'power-on'!B526,1))  +  ISNUMBER(SEARCH("70 31",'power-on'!B526,1))  +  ISNUMBER(SEARCH("77 30",'power-on'!B526,1))  +  ISNUMBER(SEARCH("77 31",'power-on'!B526,1)),1,0)</f>
        <v>0</v>
      </c>
    </row>
    <row r="528" spans="2:22" x14ac:dyDescent="0.25">
      <c r="B528" s="1"/>
      <c r="V528">
        <f>IF(    ISNUMBER(SEARCH("10 30",'power-on'!B527,1))  +  ISNUMBER(SEARCH("10 31",'power-on'!B527,1))  +  ISNUMBER(SEARCH("70 30",'power-on'!B527,1))  +  ISNUMBER(SEARCH("70 31",'power-on'!B527,1))  +  ISNUMBER(SEARCH("77 30",'power-on'!B527,1))  +  ISNUMBER(SEARCH("77 31",'power-on'!B527,1)),1,0)</f>
        <v>0</v>
      </c>
    </row>
    <row r="529" spans="2:22" x14ac:dyDescent="0.25">
      <c r="B529" s="1"/>
      <c r="V529">
        <f>IF(    ISNUMBER(SEARCH("10 30",'power-on'!B528,1))  +  ISNUMBER(SEARCH("10 31",'power-on'!B528,1))  +  ISNUMBER(SEARCH("70 30",'power-on'!B528,1))  +  ISNUMBER(SEARCH("70 31",'power-on'!B528,1))  +  ISNUMBER(SEARCH("77 30",'power-on'!B528,1))  +  ISNUMBER(SEARCH("77 31",'power-on'!B528,1)),1,0)</f>
        <v>0</v>
      </c>
    </row>
    <row r="530" spans="2:22" x14ac:dyDescent="0.25">
      <c r="B530" s="1"/>
      <c r="V530">
        <f>IF(    ISNUMBER(SEARCH("10 30",'power-on'!B529,1))  +  ISNUMBER(SEARCH("10 31",'power-on'!B529,1))  +  ISNUMBER(SEARCH("70 30",'power-on'!B529,1))  +  ISNUMBER(SEARCH("70 31",'power-on'!B529,1))  +  ISNUMBER(SEARCH("77 30",'power-on'!B529,1))  +  ISNUMBER(SEARCH("77 31",'power-on'!B529,1)),1,0)</f>
        <v>0</v>
      </c>
    </row>
    <row r="531" spans="2:22" x14ac:dyDescent="0.25">
      <c r="B531" s="1"/>
      <c r="V531">
        <f>IF(    ISNUMBER(SEARCH("10 30",'power-on'!B530,1))  +  ISNUMBER(SEARCH("10 31",'power-on'!B530,1))  +  ISNUMBER(SEARCH("70 30",'power-on'!B530,1))  +  ISNUMBER(SEARCH("70 31",'power-on'!B530,1))  +  ISNUMBER(SEARCH("77 30",'power-on'!B530,1))  +  ISNUMBER(SEARCH("77 31",'power-on'!B530,1)),1,0)</f>
        <v>0</v>
      </c>
    </row>
    <row r="532" spans="2:22" x14ac:dyDescent="0.25">
      <c r="B532" s="1"/>
      <c r="V532">
        <f>IF(    ISNUMBER(SEARCH("10 30",'power-on'!B531,1))  +  ISNUMBER(SEARCH("10 31",'power-on'!B531,1))  +  ISNUMBER(SEARCH("70 30",'power-on'!B531,1))  +  ISNUMBER(SEARCH("70 31",'power-on'!B531,1))  +  ISNUMBER(SEARCH("77 30",'power-on'!B531,1))  +  ISNUMBER(SEARCH("77 31",'power-on'!B531,1)),1,0)</f>
        <v>0</v>
      </c>
    </row>
    <row r="533" spans="2:22" x14ac:dyDescent="0.25">
      <c r="B533" s="1"/>
      <c r="V533">
        <f>IF(    ISNUMBER(SEARCH("10 30",'power-on'!B532,1))  +  ISNUMBER(SEARCH("10 31",'power-on'!B532,1))  +  ISNUMBER(SEARCH("70 30",'power-on'!B532,1))  +  ISNUMBER(SEARCH("70 31",'power-on'!B532,1))  +  ISNUMBER(SEARCH("77 30",'power-on'!B532,1))  +  ISNUMBER(SEARCH("77 31",'power-on'!B532,1)),1,0)</f>
        <v>0</v>
      </c>
    </row>
    <row r="534" spans="2:22" x14ac:dyDescent="0.25">
      <c r="B534" s="1"/>
      <c r="V534">
        <f>IF(    ISNUMBER(SEARCH("10 30",'power-on'!B533,1))  +  ISNUMBER(SEARCH("10 31",'power-on'!B533,1))  +  ISNUMBER(SEARCH("70 30",'power-on'!B533,1))  +  ISNUMBER(SEARCH("70 31",'power-on'!B533,1))  +  ISNUMBER(SEARCH("77 30",'power-on'!B533,1))  +  ISNUMBER(SEARCH("77 31",'power-on'!B533,1)),1,0)</f>
        <v>0</v>
      </c>
    </row>
    <row r="535" spans="2:22" x14ac:dyDescent="0.25">
      <c r="B535" s="1"/>
      <c r="V535">
        <f>IF(    ISNUMBER(SEARCH("10 30",'power-on'!B534,1))  +  ISNUMBER(SEARCH("10 31",'power-on'!B534,1))  +  ISNUMBER(SEARCH("70 30",'power-on'!B534,1))  +  ISNUMBER(SEARCH("70 31",'power-on'!B534,1))  +  ISNUMBER(SEARCH("77 30",'power-on'!B534,1))  +  ISNUMBER(SEARCH("77 31",'power-on'!B534,1)),1,0)</f>
        <v>0</v>
      </c>
    </row>
    <row r="536" spans="2:22" x14ac:dyDescent="0.25">
      <c r="B536" s="1"/>
      <c r="V536">
        <f>IF(    ISNUMBER(SEARCH("10 30",'power-on'!B535,1))  +  ISNUMBER(SEARCH("10 31",'power-on'!B535,1))  +  ISNUMBER(SEARCH("70 30",'power-on'!B535,1))  +  ISNUMBER(SEARCH("70 31",'power-on'!B535,1))  +  ISNUMBER(SEARCH("77 30",'power-on'!B535,1))  +  ISNUMBER(SEARCH("77 31",'power-on'!B535,1)),1,0)</f>
        <v>0</v>
      </c>
    </row>
    <row r="537" spans="2:22" x14ac:dyDescent="0.25">
      <c r="B537" s="1"/>
      <c r="V537">
        <f>IF(    ISNUMBER(SEARCH("10 30",'power-on'!B536,1))  +  ISNUMBER(SEARCH("10 31",'power-on'!B536,1))  +  ISNUMBER(SEARCH("70 30",'power-on'!B536,1))  +  ISNUMBER(SEARCH("70 31",'power-on'!B536,1))  +  ISNUMBER(SEARCH("77 30",'power-on'!B536,1))  +  ISNUMBER(SEARCH("77 31",'power-on'!B536,1)),1,0)</f>
        <v>0</v>
      </c>
    </row>
    <row r="538" spans="2:22" x14ac:dyDescent="0.25">
      <c r="B538" s="1"/>
      <c r="V538">
        <f>IF(    ISNUMBER(SEARCH("10 30",'power-on'!B537,1))  +  ISNUMBER(SEARCH("10 31",'power-on'!B537,1))  +  ISNUMBER(SEARCH("70 30",'power-on'!B537,1))  +  ISNUMBER(SEARCH("70 31",'power-on'!B537,1))  +  ISNUMBER(SEARCH("77 30",'power-on'!B537,1))  +  ISNUMBER(SEARCH("77 31",'power-on'!B537,1)),1,0)</f>
        <v>0</v>
      </c>
    </row>
    <row r="539" spans="2:22" x14ac:dyDescent="0.25">
      <c r="B539" s="1"/>
      <c r="V539">
        <f>IF(    ISNUMBER(SEARCH("10 30",'power-on'!B538,1))  +  ISNUMBER(SEARCH("10 31",'power-on'!B538,1))  +  ISNUMBER(SEARCH("70 30",'power-on'!B538,1))  +  ISNUMBER(SEARCH("70 31",'power-on'!B538,1))  +  ISNUMBER(SEARCH("77 30",'power-on'!B538,1))  +  ISNUMBER(SEARCH("77 31",'power-on'!B538,1)),1,0)</f>
        <v>0</v>
      </c>
    </row>
    <row r="540" spans="2:22" x14ac:dyDescent="0.25">
      <c r="B540" s="1"/>
      <c r="V540">
        <f>IF(    ISNUMBER(SEARCH("10 30",'power-on'!B539,1))  +  ISNUMBER(SEARCH("10 31",'power-on'!B539,1))  +  ISNUMBER(SEARCH("70 30",'power-on'!B539,1))  +  ISNUMBER(SEARCH("70 31",'power-on'!B539,1))  +  ISNUMBER(SEARCH("77 30",'power-on'!B539,1))  +  ISNUMBER(SEARCH("77 31",'power-on'!B539,1)),1,0)</f>
        <v>0</v>
      </c>
    </row>
    <row r="541" spans="2:22" x14ac:dyDescent="0.25">
      <c r="B541" s="1"/>
      <c r="V541">
        <f>IF(    ISNUMBER(SEARCH("10 30",'power-on'!B540,1))  +  ISNUMBER(SEARCH("10 31",'power-on'!B540,1))  +  ISNUMBER(SEARCH("70 30",'power-on'!B540,1))  +  ISNUMBER(SEARCH("70 31",'power-on'!B540,1))  +  ISNUMBER(SEARCH("77 30",'power-on'!B540,1))  +  ISNUMBER(SEARCH("77 31",'power-on'!B540,1)),1,0)</f>
        <v>0</v>
      </c>
    </row>
    <row r="542" spans="2:22" x14ac:dyDescent="0.25">
      <c r="B542" s="1"/>
      <c r="V542">
        <f>IF(    ISNUMBER(SEARCH("10 30",'power-on'!B541,1))  +  ISNUMBER(SEARCH("10 31",'power-on'!B541,1))  +  ISNUMBER(SEARCH("70 30",'power-on'!B541,1))  +  ISNUMBER(SEARCH("70 31",'power-on'!B541,1))  +  ISNUMBER(SEARCH("77 30",'power-on'!B541,1))  +  ISNUMBER(SEARCH("77 31",'power-on'!B541,1)),1,0)</f>
        <v>0</v>
      </c>
    </row>
    <row r="543" spans="2:22" x14ac:dyDescent="0.25">
      <c r="B543" s="1"/>
      <c r="V543">
        <f>IF(    ISNUMBER(SEARCH("10 30",'power-on'!B542,1))  +  ISNUMBER(SEARCH("10 31",'power-on'!B542,1))  +  ISNUMBER(SEARCH("70 30",'power-on'!B542,1))  +  ISNUMBER(SEARCH("70 31",'power-on'!B542,1))  +  ISNUMBER(SEARCH("77 30",'power-on'!B542,1))  +  ISNUMBER(SEARCH("77 31",'power-on'!B542,1)),1,0)</f>
        <v>0</v>
      </c>
    </row>
    <row r="544" spans="2:22" x14ac:dyDescent="0.25">
      <c r="B544" s="1"/>
      <c r="V544">
        <f>IF(    ISNUMBER(SEARCH("10 30",'power-on'!B543,1))  +  ISNUMBER(SEARCH("10 31",'power-on'!B543,1))  +  ISNUMBER(SEARCH("70 30",'power-on'!B543,1))  +  ISNUMBER(SEARCH("70 31",'power-on'!B543,1))  +  ISNUMBER(SEARCH("77 30",'power-on'!B543,1))  +  ISNUMBER(SEARCH("77 31",'power-on'!B543,1)),1,0)</f>
        <v>0</v>
      </c>
    </row>
    <row r="545" spans="2:22" x14ac:dyDescent="0.25">
      <c r="B545" s="1"/>
      <c r="V545">
        <f>IF(    ISNUMBER(SEARCH("10 30",'power-on'!B544,1))  +  ISNUMBER(SEARCH("10 31",'power-on'!B544,1))  +  ISNUMBER(SEARCH("70 30",'power-on'!B544,1))  +  ISNUMBER(SEARCH("70 31",'power-on'!B544,1))  +  ISNUMBER(SEARCH("77 30",'power-on'!B544,1))  +  ISNUMBER(SEARCH("77 31",'power-on'!B544,1)),1,0)</f>
        <v>0</v>
      </c>
    </row>
    <row r="546" spans="2:22" x14ac:dyDescent="0.25">
      <c r="B546" s="1"/>
      <c r="V546">
        <f>IF(    ISNUMBER(SEARCH("10 30",'power-on'!B545,1))  +  ISNUMBER(SEARCH("10 31",'power-on'!B545,1))  +  ISNUMBER(SEARCH("70 30",'power-on'!B545,1))  +  ISNUMBER(SEARCH("70 31",'power-on'!B545,1))  +  ISNUMBER(SEARCH("77 30",'power-on'!B545,1))  +  ISNUMBER(SEARCH("77 31",'power-on'!B545,1)),1,0)</f>
        <v>0</v>
      </c>
    </row>
    <row r="547" spans="2:22" x14ac:dyDescent="0.25">
      <c r="B547" s="1"/>
      <c r="V547">
        <f>IF(    ISNUMBER(SEARCH("10 30",'power-on'!B546,1))  +  ISNUMBER(SEARCH("10 31",'power-on'!B546,1))  +  ISNUMBER(SEARCH("70 30",'power-on'!B546,1))  +  ISNUMBER(SEARCH("70 31",'power-on'!B546,1))  +  ISNUMBER(SEARCH("77 30",'power-on'!B546,1))  +  ISNUMBER(SEARCH("77 31",'power-on'!B546,1)),1,0)</f>
        <v>0</v>
      </c>
    </row>
    <row r="548" spans="2:22" x14ac:dyDescent="0.25">
      <c r="B548" s="1"/>
      <c r="V548">
        <f>IF(    ISNUMBER(SEARCH("10 30",'power-on'!B547,1))  +  ISNUMBER(SEARCH("10 31",'power-on'!B547,1))  +  ISNUMBER(SEARCH("70 30",'power-on'!B547,1))  +  ISNUMBER(SEARCH("70 31",'power-on'!B547,1))  +  ISNUMBER(SEARCH("77 30",'power-on'!B547,1))  +  ISNUMBER(SEARCH("77 31",'power-on'!B547,1)),1,0)</f>
        <v>0</v>
      </c>
    </row>
    <row r="549" spans="2:22" x14ac:dyDescent="0.25">
      <c r="B549" s="1"/>
      <c r="V549">
        <f>IF(    ISNUMBER(SEARCH("10 30",'power-on'!B548,1))  +  ISNUMBER(SEARCH("10 31",'power-on'!B548,1))  +  ISNUMBER(SEARCH("70 30",'power-on'!B548,1))  +  ISNUMBER(SEARCH("70 31",'power-on'!B548,1))  +  ISNUMBER(SEARCH("77 30",'power-on'!B548,1))  +  ISNUMBER(SEARCH("77 31",'power-on'!B548,1)),1,0)</f>
        <v>0</v>
      </c>
    </row>
    <row r="550" spans="2:22" x14ac:dyDescent="0.25">
      <c r="B550" s="1"/>
      <c r="V550">
        <f>IF(    ISNUMBER(SEARCH("10 30",'power-on'!B549,1))  +  ISNUMBER(SEARCH("10 31",'power-on'!B549,1))  +  ISNUMBER(SEARCH("70 30",'power-on'!B549,1))  +  ISNUMBER(SEARCH("70 31",'power-on'!B549,1))  +  ISNUMBER(SEARCH("77 30",'power-on'!B549,1))  +  ISNUMBER(SEARCH("77 31",'power-on'!B549,1)),1,0)</f>
        <v>0</v>
      </c>
    </row>
    <row r="551" spans="2:22" x14ac:dyDescent="0.25">
      <c r="B551" s="1"/>
      <c r="V551">
        <f>IF(    ISNUMBER(SEARCH("10 30",'power-on'!B550,1))  +  ISNUMBER(SEARCH("10 31",'power-on'!B550,1))  +  ISNUMBER(SEARCH("70 30",'power-on'!B550,1))  +  ISNUMBER(SEARCH("70 31",'power-on'!B550,1))  +  ISNUMBER(SEARCH("77 30",'power-on'!B550,1))  +  ISNUMBER(SEARCH("77 31",'power-on'!B550,1)),1,0)</f>
        <v>0</v>
      </c>
    </row>
    <row r="552" spans="2:22" x14ac:dyDescent="0.25">
      <c r="B552" s="1"/>
      <c r="V552">
        <f>IF(    ISNUMBER(SEARCH("10 30",'power-on'!B551,1))  +  ISNUMBER(SEARCH("10 31",'power-on'!B551,1))  +  ISNUMBER(SEARCH("70 30",'power-on'!B551,1))  +  ISNUMBER(SEARCH("70 31",'power-on'!B551,1))  +  ISNUMBER(SEARCH("77 30",'power-on'!B551,1))  +  ISNUMBER(SEARCH("77 31",'power-on'!B551,1)),1,0)</f>
        <v>0</v>
      </c>
    </row>
    <row r="553" spans="2:22" x14ac:dyDescent="0.25">
      <c r="B553" s="1"/>
      <c r="V553">
        <f>IF(    ISNUMBER(SEARCH("10 30",'power-on'!B552,1))  +  ISNUMBER(SEARCH("10 31",'power-on'!B552,1))  +  ISNUMBER(SEARCH("70 30",'power-on'!B552,1))  +  ISNUMBER(SEARCH("70 31",'power-on'!B552,1))  +  ISNUMBER(SEARCH("77 30",'power-on'!B552,1))  +  ISNUMBER(SEARCH("77 31",'power-on'!B552,1)),1,0)</f>
        <v>0</v>
      </c>
    </row>
    <row r="554" spans="2:22" x14ac:dyDescent="0.25">
      <c r="B554" s="1"/>
      <c r="V554">
        <f>IF(    ISNUMBER(SEARCH("10 30",'power-on'!B553,1))  +  ISNUMBER(SEARCH("10 31",'power-on'!B553,1))  +  ISNUMBER(SEARCH("70 30",'power-on'!B553,1))  +  ISNUMBER(SEARCH("70 31",'power-on'!B553,1))  +  ISNUMBER(SEARCH("77 30",'power-on'!B553,1))  +  ISNUMBER(SEARCH("77 31",'power-on'!B553,1)),1,0)</f>
        <v>0</v>
      </c>
    </row>
    <row r="555" spans="2:22" x14ac:dyDescent="0.25">
      <c r="B555" s="1"/>
      <c r="V555">
        <f>IF(    ISNUMBER(SEARCH("10 30",'power-on'!B554,1))  +  ISNUMBER(SEARCH("10 31",'power-on'!B554,1))  +  ISNUMBER(SEARCH("70 30",'power-on'!B554,1))  +  ISNUMBER(SEARCH("70 31",'power-on'!B554,1))  +  ISNUMBER(SEARCH("77 30",'power-on'!B554,1))  +  ISNUMBER(SEARCH("77 31",'power-on'!B554,1)),1,0)</f>
        <v>0</v>
      </c>
    </row>
    <row r="556" spans="2:22" x14ac:dyDescent="0.25">
      <c r="B556" s="1"/>
      <c r="V556">
        <f>IF(    ISNUMBER(SEARCH("10 30",'power-on'!B555,1))  +  ISNUMBER(SEARCH("10 31",'power-on'!B555,1))  +  ISNUMBER(SEARCH("70 30",'power-on'!B555,1))  +  ISNUMBER(SEARCH("70 31",'power-on'!B555,1))  +  ISNUMBER(SEARCH("77 30",'power-on'!B555,1))  +  ISNUMBER(SEARCH("77 31",'power-on'!B555,1)),1,0)</f>
        <v>0</v>
      </c>
    </row>
    <row r="557" spans="2:22" x14ac:dyDescent="0.25">
      <c r="B557" s="1"/>
      <c r="V557">
        <f>IF(    ISNUMBER(SEARCH("10 30",'power-on'!B556,1))  +  ISNUMBER(SEARCH("10 31",'power-on'!B556,1))  +  ISNUMBER(SEARCH("70 30",'power-on'!B556,1))  +  ISNUMBER(SEARCH("70 31",'power-on'!B556,1))  +  ISNUMBER(SEARCH("77 30",'power-on'!B556,1))  +  ISNUMBER(SEARCH("77 31",'power-on'!B556,1)),1,0)</f>
        <v>0</v>
      </c>
    </row>
    <row r="558" spans="2:22" x14ac:dyDescent="0.25">
      <c r="B558" s="1"/>
      <c r="V558">
        <f>IF(    ISNUMBER(SEARCH("10 30",'power-on'!B557,1))  +  ISNUMBER(SEARCH("10 31",'power-on'!B557,1))  +  ISNUMBER(SEARCH("70 30",'power-on'!B557,1))  +  ISNUMBER(SEARCH("70 31",'power-on'!B557,1))  +  ISNUMBER(SEARCH("77 30",'power-on'!B557,1))  +  ISNUMBER(SEARCH("77 31",'power-on'!B557,1)),1,0)</f>
        <v>0</v>
      </c>
    </row>
    <row r="559" spans="2:22" x14ac:dyDescent="0.25">
      <c r="B559" s="1"/>
      <c r="V559">
        <f>IF(    ISNUMBER(SEARCH("10 30",'power-on'!B558,1))  +  ISNUMBER(SEARCH("10 31",'power-on'!B558,1))  +  ISNUMBER(SEARCH("70 30",'power-on'!B558,1))  +  ISNUMBER(SEARCH("70 31",'power-on'!B558,1))  +  ISNUMBER(SEARCH("77 30",'power-on'!B558,1))  +  ISNUMBER(SEARCH("77 31",'power-on'!B558,1)),1,0)</f>
        <v>0</v>
      </c>
    </row>
    <row r="560" spans="2:22" x14ac:dyDescent="0.25">
      <c r="B560" s="1"/>
      <c r="V560">
        <f>IF(    ISNUMBER(SEARCH("10 30",'power-on'!B559,1))  +  ISNUMBER(SEARCH("10 31",'power-on'!B559,1))  +  ISNUMBER(SEARCH("70 30",'power-on'!B559,1))  +  ISNUMBER(SEARCH("70 31",'power-on'!B559,1))  +  ISNUMBER(SEARCH("77 30",'power-on'!B559,1))  +  ISNUMBER(SEARCH("77 31",'power-on'!B559,1)),1,0)</f>
        <v>0</v>
      </c>
    </row>
    <row r="561" spans="2:22" x14ac:dyDescent="0.25">
      <c r="B561" s="1"/>
      <c r="V561">
        <f>IF(    ISNUMBER(SEARCH("10 30",'power-on'!B560,1))  +  ISNUMBER(SEARCH("10 31",'power-on'!B560,1))  +  ISNUMBER(SEARCH("70 30",'power-on'!B560,1))  +  ISNUMBER(SEARCH("70 31",'power-on'!B560,1))  +  ISNUMBER(SEARCH("77 30",'power-on'!B560,1))  +  ISNUMBER(SEARCH("77 31",'power-on'!B560,1)),1,0)</f>
        <v>0</v>
      </c>
    </row>
    <row r="562" spans="2:22" x14ac:dyDescent="0.25">
      <c r="B562" s="1"/>
      <c r="V562">
        <f>IF(    ISNUMBER(SEARCH("10 30",'power-on'!B561,1))  +  ISNUMBER(SEARCH("10 31",'power-on'!B561,1))  +  ISNUMBER(SEARCH("70 30",'power-on'!B561,1))  +  ISNUMBER(SEARCH("70 31",'power-on'!B561,1))  +  ISNUMBER(SEARCH("77 30",'power-on'!B561,1))  +  ISNUMBER(SEARCH("77 31",'power-on'!B561,1)),1,0)</f>
        <v>0</v>
      </c>
    </row>
    <row r="563" spans="2:22" x14ac:dyDescent="0.25">
      <c r="B563" s="1"/>
      <c r="V563">
        <f>IF(    ISNUMBER(SEARCH("10 30",'power-on'!B562,1))  +  ISNUMBER(SEARCH("10 31",'power-on'!B562,1))  +  ISNUMBER(SEARCH("70 30",'power-on'!B562,1))  +  ISNUMBER(SEARCH("70 31",'power-on'!B562,1))  +  ISNUMBER(SEARCH("77 30",'power-on'!B562,1))  +  ISNUMBER(SEARCH("77 31",'power-on'!B562,1)),1,0)</f>
        <v>0</v>
      </c>
    </row>
    <row r="564" spans="2:22" x14ac:dyDescent="0.25">
      <c r="B564" s="1"/>
      <c r="V564">
        <f>IF(    ISNUMBER(SEARCH("10 30",'power-on'!B563,1))  +  ISNUMBER(SEARCH("10 31",'power-on'!B563,1))  +  ISNUMBER(SEARCH("70 30",'power-on'!B563,1))  +  ISNUMBER(SEARCH("70 31",'power-on'!B563,1))  +  ISNUMBER(SEARCH("77 30",'power-on'!B563,1))  +  ISNUMBER(SEARCH("77 31",'power-on'!B563,1)),1,0)</f>
        <v>0</v>
      </c>
    </row>
    <row r="565" spans="2:22" x14ac:dyDescent="0.25">
      <c r="B565" s="1"/>
      <c r="V565">
        <f>IF(    ISNUMBER(SEARCH("10 30",'power-on'!B564,1))  +  ISNUMBER(SEARCH("10 31",'power-on'!B564,1))  +  ISNUMBER(SEARCH("70 30",'power-on'!B564,1))  +  ISNUMBER(SEARCH("70 31",'power-on'!B564,1))  +  ISNUMBER(SEARCH("77 30",'power-on'!B564,1))  +  ISNUMBER(SEARCH("77 31",'power-on'!B564,1)),1,0)</f>
        <v>0</v>
      </c>
    </row>
    <row r="566" spans="2:22" x14ac:dyDescent="0.25">
      <c r="B566" s="1"/>
      <c r="V566">
        <f>IF(    ISNUMBER(SEARCH("10 30",'power-on'!B565,1))  +  ISNUMBER(SEARCH("10 31",'power-on'!B565,1))  +  ISNUMBER(SEARCH("70 30",'power-on'!B565,1))  +  ISNUMBER(SEARCH("70 31",'power-on'!B565,1))  +  ISNUMBER(SEARCH("77 30",'power-on'!B565,1))  +  ISNUMBER(SEARCH("77 31",'power-on'!B565,1)),1,0)</f>
        <v>0</v>
      </c>
    </row>
    <row r="567" spans="2:22" x14ac:dyDescent="0.25">
      <c r="B567" s="1"/>
      <c r="V567">
        <f>IF(    ISNUMBER(SEARCH("10 30",'power-on'!B566,1))  +  ISNUMBER(SEARCH("10 31",'power-on'!B566,1))  +  ISNUMBER(SEARCH("70 30",'power-on'!B566,1))  +  ISNUMBER(SEARCH("70 31",'power-on'!B566,1))  +  ISNUMBER(SEARCH("77 30",'power-on'!B566,1))  +  ISNUMBER(SEARCH("77 31",'power-on'!B566,1)),1,0)</f>
        <v>0</v>
      </c>
    </row>
    <row r="568" spans="2:22" x14ac:dyDescent="0.25">
      <c r="B568" s="1"/>
      <c r="V568">
        <f>IF(    ISNUMBER(SEARCH("10 30",'power-on'!B567,1))  +  ISNUMBER(SEARCH("10 31",'power-on'!B567,1))  +  ISNUMBER(SEARCH("70 30",'power-on'!B567,1))  +  ISNUMBER(SEARCH("70 31",'power-on'!B567,1))  +  ISNUMBER(SEARCH("77 30",'power-on'!B567,1))  +  ISNUMBER(SEARCH("77 31",'power-on'!B567,1)),1,0)</f>
        <v>0</v>
      </c>
    </row>
    <row r="569" spans="2:22" x14ac:dyDescent="0.25">
      <c r="B569" s="1"/>
      <c r="V569">
        <f>IF(    ISNUMBER(SEARCH("10 30",'power-on'!B568,1))  +  ISNUMBER(SEARCH("10 31",'power-on'!B568,1))  +  ISNUMBER(SEARCH("70 30",'power-on'!B568,1))  +  ISNUMBER(SEARCH("70 31",'power-on'!B568,1))  +  ISNUMBER(SEARCH("77 30",'power-on'!B568,1))  +  ISNUMBER(SEARCH("77 31",'power-on'!B568,1)),1,0)</f>
        <v>0</v>
      </c>
    </row>
    <row r="570" spans="2:22" x14ac:dyDescent="0.25">
      <c r="B570" s="1"/>
      <c r="V570">
        <f>IF(    ISNUMBER(SEARCH("10 30",'power-on'!B569,1))  +  ISNUMBER(SEARCH("10 31",'power-on'!B569,1))  +  ISNUMBER(SEARCH("70 30",'power-on'!B569,1))  +  ISNUMBER(SEARCH("70 31",'power-on'!B569,1))  +  ISNUMBER(SEARCH("77 30",'power-on'!B569,1))  +  ISNUMBER(SEARCH("77 31",'power-on'!B569,1)),1,0)</f>
        <v>0</v>
      </c>
    </row>
    <row r="571" spans="2:22" x14ac:dyDescent="0.25">
      <c r="B571" s="1"/>
      <c r="V571">
        <f>IF(    ISNUMBER(SEARCH("10 30",'power-on'!B570,1))  +  ISNUMBER(SEARCH("10 31",'power-on'!B570,1))  +  ISNUMBER(SEARCH("70 30",'power-on'!B570,1))  +  ISNUMBER(SEARCH("70 31",'power-on'!B570,1))  +  ISNUMBER(SEARCH("77 30",'power-on'!B570,1))  +  ISNUMBER(SEARCH("77 31",'power-on'!B570,1)),1,0)</f>
        <v>0</v>
      </c>
    </row>
    <row r="572" spans="2:22" x14ac:dyDescent="0.25">
      <c r="B572" s="1"/>
      <c r="V572">
        <f>IF(    ISNUMBER(SEARCH("10 30",'power-on'!B571,1))  +  ISNUMBER(SEARCH("10 31",'power-on'!B571,1))  +  ISNUMBER(SEARCH("70 30",'power-on'!B571,1))  +  ISNUMBER(SEARCH("70 31",'power-on'!B571,1))  +  ISNUMBER(SEARCH("77 30",'power-on'!B571,1))  +  ISNUMBER(SEARCH("77 31",'power-on'!B571,1)),1,0)</f>
        <v>0</v>
      </c>
    </row>
    <row r="573" spans="2:22" x14ac:dyDescent="0.25">
      <c r="B573" s="1"/>
      <c r="V573">
        <f>IF(    ISNUMBER(SEARCH("10 30",'power-on'!B572,1))  +  ISNUMBER(SEARCH("10 31",'power-on'!B572,1))  +  ISNUMBER(SEARCH("70 30",'power-on'!B572,1))  +  ISNUMBER(SEARCH("70 31",'power-on'!B572,1))  +  ISNUMBER(SEARCH("77 30",'power-on'!B572,1))  +  ISNUMBER(SEARCH("77 31",'power-on'!B572,1)),1,0)</f>
        <v>0</v>
      </c>
    </row>
    <row r="574" spans="2:22" x14ac:dyDescent="0.25">
      <c r="B574" s="1"/>
      <c r="V574">
        <f>IF(    ISNUMBER(SEARCH("10 30",'power-on'!B573,1))  +  ISNUMBER(SEARCH("10 31",'power-on'!B573,1))  +  ISNUMBER(SEARCH("70 30",'power-on'!B573,1))  +  ISNUMBER(SEARCH("70 31",'power-on'!B573,1))  +  ISNUMBER(SEARCH("77 30",'power-on'!B573,1))  +  ISNUMBER(SEARCH("77 31",'power-on'!B573,1)),1,0)</f>
        <v>0</v>
      </c>
    </row>
    <row r="575" spans="2:22" x14ac:dyDescent="0.25">
      <c r="B575" s="1"/>
      <c r="V575">
        <f>IF(    ISNUMBER(SEARCH("10 30",'power-on'!B574,1))  +  ISNUMBER(SEARCH("10 31",'power-on'!B574,1))  +  ISNUMBER(SEARCH("70 30",'power-on'!B574,1))  +  ISNUMBER(SEARCH("70 31",'power-on'!B574,1))  +  ISNUMBER(SEARCH("77 30",'power-on'!B574,1))  +  ISNUMBER(SEARCH("77 31",'power-on'!B574,1)),1,0)</f>
        <v>0</v>
      </c>
    </row>
    <row r="576" spans="2:22" x14ac:dyDescent="0.25">
      <c r="B576" s="1"/>
      <c r="V576">
        <f>IF(    ISNUMBER(SEARCH("10 30",'power-on'!B575,1))  +  ISNUMBER(SEARCH("10 31",'power-on'!B575,1))  +  ISNUMBER(SEARCH("70 30",'power-on'!B575,1))  +  ISNUMBER(SEARCH("70 31",'power-on'!B575,1))  +  ISNUMBER(SEARCH("77 30",'power-on'!B575,1))  +  ISNUMBER(SEARCH("77 31",'power-on'!B575,1)),1,0)</f>
        <v>0</v>
      </c>
    </row>
    <row r="577" spans="2:22" x14ac:dyDescent="0.25">
      <c r="B577" s="1"/>
      <c r="V577">
        <f>IF(    ISNUMBER(SEARCH("10 30",'power-on'!B576,1))  +  ISNUMBER(SEARCH("10 31",'power-on'!B576,1))  +  ISNUMBER(SEARCH("70 30",'power-on'!B576,1))  +  ISNUMBER(SEARCH("70 31",'power-on'!B576,1))  +  ISNUMBER(SEARCH("77 30",'power-on'!B576,1))  +  ISNUMBER(SEARCH("77 31",'power-on'!B576,1)),1,0)</f>
        <v>0</v>
      </c>
    </row>
    <row r="578" spans="2:22" x14ac:dyDescent="0.25">
      <c r="B578" s="1"/>
      <c r="V578">
        <f>IF(    ISNUMBER(SEARCH("10 30",'power-on'!B577,1))  +  ISNUMBER(SEARCH("10 31",'power-on'!B577,1))  +  ISNUMBER(SEARCH("70 30",'power-on'!B577,1))  +  ISNUMBER(SEARCH("70 31",'power-on'!B577,1))  +  ISNUMBER(SEARCH("77 30",'power-on'!B577,1))  +  ISNUMBER(SEARCH("77 31",'power-on'!B577,1)),1,0)</f>
        <v>0</v>
      </c>
    </row>
    <row r="579" spans="2:22" x14ac:dyDescent="0.25">
      <c r="B579" s="1"/>
      <c r="V579">
        <f>IF(    ISNUMBER(SEARCH("10 30",'power-on'!B578,1))  +  ISNUMBER(SEARCH("10 31",'power-on'!B578,1))  +  ISNUMBER(SEARCH("70 30",'power-on'!B578,1))  +  ISNUMBER(SEARCH("70 31",'power-on'!B578,1))  +  ISNUMBER(SEARCH("77 30",'power-on'!B578,1))  +  ISNUMBER(SEARCH("77 31",'power-on'!B578,1)),1,0)</f>
        <v>0</v>
      </c>
    </row>
    <row r="580" spans="2:22" x14ac:dyDescent="0.25">
      <c r="B580" s="1"/>
      <c r="V580">
        <f>IF(    ISNUMBER(SEARCH("10 30",'power-on'!B579,1))  +  ISNUMBER(SEARCH("10 31",'power-on'!B579,1))  +  ISNUMBER(SEARCH("70 30",'power-on'!B579,1))  +  ISNUMBER(SEARCH("70 31",'power-on'!B579,1))  +  ISNUMBER(SEARCH("77 30",'power-on'!B579,1))  +  ISNUMBER(SEARCH("77 31",'power-on'!B579,1)),1,0)</f>
        <v>0</v>
      </c>
    </row>
    <row r="581" spans="2:22" x14ac:dyDescent="0.25">
      <c r="B581" s="1"/>
      <c r="V581">
        <f>IF(    ISNUMBER(SEARCH("10 30",'power-on'!B580,1))  +  ISNUMBER(SEARCH("10 31",'power-on'!B580,1))  +  ISNUMBER(SEARCH("70 30",'power-on'!B580,1))  +  ISNUMBER(SEARCH("70 31",'power-on'!B580,1))  +  ISNUMBER(SEARCH("77 30",'power-on'!B580,1))  +  ISNUMBER(SEARCH("77 31",'power-on'!B580,1)),1,0)</f>
        <v>0</v>
      </c>
    </row>
    <row r="582" spans="2:22" x14ac:dyDescent="0.25">
      <c r="B582" s="1"/>
      <c r="V582">
        <f>IF(    ISNUMBER(SEARCH("10 30",'power-on'!B581,1))  +  ISNUMBER(SEARCH("10 31",'power-on'!B581,1))  +  ISNUMBER(SEARCH("70 30",'power-on'!B581,1))  +  ISNUMBER(SEARCH("70 31",'power-on'!B581,1))  +  ISNUMBER(SEARCH("77 30",'power-on'!B581,1))  +  ISNUMBER(SEARCH("77 31",'power-on'!B581,1)),1,0)</f>
        <v>0</v>
      </c>
    </row>
    <row r="583" spans="2:22" x14ac:dyDescent="0.25">
      <c r="B583" s="1"/>
      <c r="V583">
        <f>IF(    ISNUMBER(SEARCH("10 30",'power-on'!B582,1))  +  ISNUMBER(SEARCH("10 31",'power-on'!B582,1))  +  ISNUMBER(SEARCH("70 30",'power-on'!B582,1))  +  ISNUMBER(SEARCH("70 31",'power-on'!B582,1))  +  ISNUMBER(SEARCH("77 30",'power-on'!B582,1))  +  ISNUMBER(SEARCH("77 31",'power-on'!B582,1)),1,0)</f>
        <v>0</v>
      </c>
    </row>
    <row r="584" spans="2:22" x14ac:dyDescent="0.25">
      <c r="B584" s="1"/>
    </row>
    <row r="585" spans="2:22" x14ac:dyDescent="0.25">
      <c r="B585" s="1"/>
    </row>
    <row r="586" spans="2:22" x14ac:dyDescent="0.25">
      <c r="B586" s="1"/>
    </row>
  </sheetData>
  <conditionalFormatting sqref="B2:B48 B50">
    <cfRule type="expression" dxfId="26" priority="13">
      <formula>NOT(EXACT(V3,1))</formula>
    </cfRule>
    <cfRule type="expression" dxfId="25" priority="14">
      <formula>EXACT(V3,1)</formula>
    </cfRule>
  </conditionalFormatting>
  <conditionalFormatting sqref="F27:F29 J36">
    <cfRule type="expression" dxfId="24" priority="10">
      <formula>NOT(EXACT(#REF!,1))</formula>
    </cfRule>
    <cfRule type="expression" dxfId="23" priority="12">
      <formula>EXACT(#REF!,1)</formula>
    </cfRule>
  </conditionalFormatting>
  <conditionalFormatting sqref="B51:B160">
    <cfRule type="expression" dxfId="22" priority="23">
      <formula>NOT(EXACT(V51,1))</formula>
    </cfRule>
    <cfRule type="expression" dxfId="21" priority="24">
      <formula>EXACT(V51,1)</formula>
    </cfRule>
  </conditionalFormatting>
  <conditionalFormatting sqref="A2:A160">
    <cfRule type="containsText" dxfId="20" priority="1" operator="containsText" text="90 STATUS">
      <formula>NOT(ISERROR(SEARCH("90 STATUS",A2)))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545"/>
  <sheetViews>
    <sheetView workbookViewId="0">
      <selection activeCell="A43" sqref="A43"/>
    </sheetView>
  </sheetViews>
  <sheetFormatPr baseColWidth="10" defaultRowHeight="15" x14ac:dyDescent="0.25"/>
  <cols>
    <col min="1" max="1" width="70.28515625" customWidth="1"/>
    <col min="2" max="2" width="63.28515625" bestFit="1" customWidth="1"/>
    <col min="3" max="3" width="14.28515625" bestFit="1" customWidth="1"/>
    <col min="4" max="4" width="6.7109375" bestFit="1" customWidth="1"/>
    <col min="5" max="5" width="4.7109375" bestFit="1" customWidth="1"/>
    <col min="6" max="6" width="5.140625" bestFit="1" customWidth="1"/>
    <col min="7" max="7" width="5" bestFit="1" customWidth="1"/>
    <col min="8" max="8" width="18.5703125" customWidth="1"/>
  </cols>
  <sheetData>
    <row r="1" spans="1:26" x14ac:dyDescent="0.25">
      <c r="C1" s="7" t="s">
        <v>162</v>
      </c>
    </row>
    <row r="2" spans="1:26" x14ac:dyDescent="0.25">
      <c r="A2" t="str">
        <f>ParseUnilink(B2)</f>
        <v>84 REQUEST MORE TEXT FIELDS - SEND MAGAZINE INFO</v>
      </c>
      <c r="B2" t="s">
        <v>14</v>
      </c>
      <c r="Z2" t="s">
        <v>34</v>
      </c>
    </row>
    <row r="3" spans="1:26" x14ac:dyDescent="0.25">
      <c r="A3" t="str">
        <f t="shared" ref="A3:A66" si="0">ParseUnilink(B3)</f>
        <v>01 MASTER REQUEST - TIME POLL</v>
      </c>
      <c r="B3" t="s">
        <v>35</v>
      </c>
      <c r="Z3">
        <f t="shared" ref="Z3:Z66" si="1">IF(    ISNUMBER(SEARCH("10 30",B2,1))  +  ISNUMBER(SEARCH("10 31",B2,1))  +  ISNUMBER(SEARCH("70 30",B2,1))  +  ISNUMBER(SEARCH("70 31",B2,1))  +  ISNUMBER(SEARCH("77 30",B2,1))  +  ISNUMBER(SEARCH("77 31",B2,1)),1,0)</f>
        <v>0</v>
      </c>
    </row>
    <row r="4" spans="1:26" x14ac:dyDescent="0.25">
      <c r="A4" t="str">
        <f t="shared" si="0"/>
        <v>00 STATUS - PLAYING</v>
      </c>
      <c r="B4" t="s">
        <v>36</v>
      </c>
      <c r="Z4">
        <f t="shared" si="1"/>
        <v>0</v>
      </c>
    </row>
    <row r="5" spans="1:26" x14ac:dyDescent="0.25">
      <c r="A5" t="str">
        <f t="shared" si="0"/>
        <v>84 REQUEST MORE TEXT FIELDS - SEND DISC INFO</v>
      </c>
      <c r="B5" t="s">
        <v>17</v>
      </c>
      <c r="Z5">
        <f t="shared" si="1"/>
        <v>1</v>
      </c>
    </row>
    <row r="6" spans="1:26" x14ac:dyDescent="0.25">
      <c r="A6" t="str">
        <f t="shared" si="0"/>
        <v>01 MASTER REQUEST - SLAVE POLL</v>
      </c>
      <c r="B6" t="s">
        <v>37</v>
      </c>
      <c r="Z6">
        <f t="shared" si="1"/>
        <v>0</v>
      </c>
    </row>
    <row r="7" spans="1:26" x14ac:dyDescent="0.25">
      <c r="A7" t="str">
        <f t="shared" si="0"/>
        <v>95 MAGAZINE INFO - CD1 YES, CD2 YES, CD3 NO, CD4 NO, CD5 NO, CD6 NO</v>
      </c>
      <c r="B7" t="s">
        <v>38</v>
      </c>
      <c r="Z7">
        <f t="shared" si="1"/>
        <v>0</v>
      </c>
    </row>
    <row r="8" spans="1:26" x14ac:dyDescent="0.25">
      <c r="A8" t="str">
        <f t="shared" si="0"/>
        <v>01 MASTER REQUEST - SLAVE POLL</v>
      </c>
      <c r="B8" t="s">
        <v>37</v>
      </c>
      <c r="Z8">
        <f t="shared" si="1"/>
        <v>1</v>
      </c>
    </row>
    <row r="9" spans="1:26" x14ac:dyDescent="0.25">
      <c r="A9" t="str">
        <f t="shared" si="0"/>
        <v>97 DISC INFO - TRACKS: 69, MINS: 88, SECS: 00, DISC: 2</v>
      </c>
      <c r="B9" t="s">
        <v>39</v>
      </c>
      <c r="Z9">
        <f t="shared" si="1"/>
        <v>0</v>
      </c>
    </row>
    <row r="10" spans="1:26" x14ac:dyDescent="0.25">
      <c r="A10" t="str">
        <f t="shared" si="0"/>
        <v>01 MASTER REQUEST - SLAVE POLL</v>
      </c>
      <c r="B10" t="s">
        <v>37</v>
      </c>
      <c r="D10" s="5"/>
      <c r="E10" s="5"/>
      <c r="F10" s="5"/>
      <c r="G10" s="5"/>
      <c r="H10" s="5"/>
      <c r="Z10">
        <f t="shared" si="1"/>
        <v>1</v>
      </c>
    </row>
    <row r="11" spans="1:26" x14ac:dyDescent="0.25">
      <c r="A11" t="str">
        <f t="shared" si="0"/>
        <v>90 TIME- TRACK: 01, 00:03, DISC: 2</v>
      </c>
      <c r="B11" t="s">
        <v>40</v>
      </c>
      <c r="D11" s="5"/>
      <c r="E11" s="5"/>
      <c r="F11" s="5"/>
      <c r="G11" s="5"/>
      <c r="H11" s="5"/>
      <c r="Z11">
        <f t="shared" si="1"/>
        <v>0</v>
      </c>
    </row>
    <row r="12" spans="1:26" x14ac:dyDescent="0.25">
      <c r="A12" t="str">
        <f t="shared" si="0"/>
        <v>01 MASTER REQUEST - SLAVE POLL</v>
      </c>
      <c r="B12" t="s">
        <v>37</v>
      </c>
      <c r="D12" s="5"/>
      <c r="E12" s="5"/>
      <c r="F12" s="5"/>
      <c r="G12" s="5"/>
      <c r="H12" s="5"/>
      <c r="Z12">
        <f t="shared" si="1"/>
        <v>1</v>
      </c>
    </row>
    <row r="13" spans="1:26" x14ac:dyDescent="0.25">
      <c r="A13" t="str">
        <f t="shared" si="0"/>
        <v>00 STATUS - PLAYING</v>
      </c>
      <c r="B13" t="s">
        <v>36</v>
      </c>
      <c r="D13" s="5"/>
      <c r="E13" s="5"/>
      <c r="F13" s="5"/>
      <c r="G13" s="5"/>
      <c r="Z13">
        <f t="shared" si="1"/>
        <v>0</v>
      </c>
    </row>
    <row r="14" spans="1:26" x14ac:dyDescent="0.25">
      <c r="A14" t="str">
        <f t="shared" si="0"/>
        <v>01 MASTER REQUEST - SLAVE POLL</v>
      </c>
      <c r="B14" t="s">
        <v>37</v>
      </c>
      <c r="D14" s="5"/>
      <c r="E14" s="5"/>
      <c r="F14" s="5"/>
      <c r="G14" s="5"/>
      <c r="H14" s="5"/>
      <c r="Z14">
        <f t="shared" si="1"/>
        <v>1</v>
      </c>
    </row>
    <row r="15" spans="1:26" x14ac:dyDescent="0.25">
      <c r="A15" t="str">
        <f t="shared" si="0"/>
        <v>90 TIME- TRACK: 01, 00:04, DISC: 2</v>
      </c>
      <c r="B15" t="s">
        <v>41</v>
      </c>
      <c r="D15" s="5"/>
      <c r="E15" s="5"/>
      <c r="F15" s="5"/>
      <c r="G15" s="5"/>
      <c r="H15" s="5"/>
      <c r="Z15">
        <f t="shared" si="1"/>
        <v>0</v>
      </c>
    </row>
    <row r="16" spans="1:26" x14ac:dyDescent="0.25">
      <c r="A16" t="str">
        <f t="shared" si="0"/>
        <v>01 MASTER REQUEST - SLAVE POLL</v>
      </c>
      <c r="B16" t="s">
        <v>37</v>
      </c>
      <c r="D16" s="5"/>
      <c r="E16" s="5"/>
      <c r="F16" s="5"/>
      <c r="G16" s="5"/>
      <c r="H16" s="5"/>
      <c r="Z16">
        <f t="shared" si="1"/>
        <v>1</v>
      </c>
    </row>
    <row r="17" spans="1:26" x14ac:dyDescent="0.25">
      <c r="A17" t="str">
        <f t="shared" si="0"/>
        <v>00 STATUS - PLAYING</v>
      </c>
      <c r="B17" t="s">
        <v>36</v>
      </c>
      <c r="D17" s="5"/>
      <c r="E17" s="5"/>
      <c r="F17" s="5"/>
      <c r="G17" s="5"/>
      <c r="H17" s="5"/>
      <c r="Z17">
        <f t="shared" si="1"/>
        <v>0</v>
      </c>
    </row>
    <row r="18" spans="1:26" x14ac:dyDescent="0.25">
      <c r="A18" t="str">
        <f t="shared" si="0"/>
        <v>84 REQUEST MORE TEXT FIELDS - SEND MAGAZINE INFO</v>
      </c>
      <c r="B18" t="s">
        <v>14</v>
      </c>
      <c r="D18" s="5"/>
      <c r="E18" s="5"/>
      <c r="F18" s="5"/>
      <c r="G18" s="5"/>
      <c r="H18" s="5"/>
      <c r="Z18">
        <f t="shared" si="1"/>
        <v>1</v>
      </c>
    </row>
    <row r="19" spans="1:26" x14ac:dyDescent="0.25">
      <c r="A19" t="str">
        <f t="shared" si="0"/>
        <v>01 MASTER REQUEST - TIME POLL</v>
      </c>
      <c r="B19" t="s">
        <v>35</v>
      </c>
      <c r="D19" s="5"/>
      <c r="E19" s="5"/>
      <c r="F19" s="5"/>
      <c r="G19" s="5"/>
      <c r="H19" s="5"/>
      <c r="Z19">
        <f t="shared" si="1"/>
        <v>0</v>
      </c>
    </row>
    <row r="20" spans="1:26" x14ac:dyDescent="0.25">
      <c r="A20" t="str">
        <f t="shared" si="0"/>
        <v>00 STATUS - PLAYING</v>
      </c>
      <c r="B20" t="s">
        <v>36</v>
      </c>
      <c r="D20" s="5"/>
      <c r="E20" s="5"/>
      <c r="F20" s="5"/>
      <c r="G20" s="5"/>
      <c r="H20" s="5"/>
      <c r="Z20">
        <f t="shared" si="1"/>
        <v>0</v>
      </c>
    </row>
    <row r="21" spans="1:26" x14ac:dyDescent="0.25">
      <c r="A21" t="str">
        <f t="shared" si="0"/>
        <v>84 REQUEST MORE TEXT FIELDS - SEND DISC INFO</v>
      </c>
      <c r="B21" t="s">
        <v>17</v>
      </c>
      <c r="D21" s="5"/>
      <c r="E21" s="5"/>
      <c r="F21" s="5"/>
      <c r="G21" s="5"/>
      <c r="H21" s="5"/>
      <c r="Z21">
        <f t="shared" si="1"/>
        <v>1</v>
      </c>
    </row>
    <row r="22" spans="1:26" x14ac:dyDescent="0.25">
      <c r="A22" t="str">
        <f t="shared" si="0"/>
        <v>01 MASTER REQUEST - SLAVE POLL</v>
      </c>
      <c r="B22" t="s">
        <v>37</v>
      </c>
      <c r="D22" s="5"/>
      <c r="E22" s="5"/>
      <c r="F22" s="5"/>
      <c r="G22" s="5"/>
      <c r="H22" s="5"/>
      <c r="Z22">
        <f t="shared" si="1"/>
        <v>0</v>
      </c>
    </row>
    <row r="23" spans="1:26" x14ac:dyDescent="0.25">
      <c r="A23" t="str">
        <f t="shared" si="0"/>
        <v>95 MAGAZINE INFO - CD1 YES, CD2 YES, CD3 NO, CD4 NO, CD5 NO, CD6 NO</v>
      </c>
      <c r="B23" t="s">
        <v>38</v>
      </c>
      <c r="D23" s="5"/>
      <c r="E23" s="5"/>
      <c r="F23" s="5"/>
      <c r="G23" s="5"/>
      <c r="H23" s="5"/>
      <c r="Z23">
        <f t="shared" si="1"/>
        <v>0</v>
      </c>
    </row>
    <row r="24" spans="1:26" x14ac:dyDescent="0.25">
      <c r="A24" t="str">
        <f t="shared" si="0"/>
        <v>01 MASTER REQUEST - SLAVE POLL</v>
      </c>
      <c r="B24" t="s">
        <v>37</v>
      </c>
      <c r="D24" s="5"/>
      <c r="E24" s="5"/>
      <c r="F24" s="5"/>
      <c r="G24" s="5"/>
      <c r="H24" s="5"/>
      <c r="Z24">
        <f t="shared" si="1"/>
        <v>1</v>
      </c>
    </row>
    <row r="25" spans="1:26" x14ac:dyDescent="0.25">
      <c r="A25" t="str">
        <f t="shared" si="0"/>
        <v>97 DISC INFO - TRACKS: 69, MINS: 88, SECS: 00, DISC: 2</v>
      </c>
      <c r="B25" t="s">
        <v>39</v>
      </c>
      <c r="D25" s="5"/>
      <c r="E25" s="5"/>
      <c r="F25" s="5"/>
      <c r="G25" s="5"/>
      <c r="H25" s="5"/>
      <c r="Z25">
        <f t="shared" si="1"/>
        <v>0</v>
      </c>
    </row>
    <row r="26" spans="1:26" x14ac:dyDescent="0.25">
      <c r="A26" t="str">
        <f t="shared" si="0"/>
        <v>01 MASTER REQUEST - SLAVE POLL</v>
      </c>
      <c r="B26" t="s">
        <v>37</v>
      </c>
      <c r="D26" s="5"/>
      <c r="E26" s="5"/>
      <c r="F26" s="5"/>
      <c r="G26" s="5"/>
      <c r="H26" s="5"/>
      <c r="Z26">
        <f t="shared" si="1"/>
        <v>1</v>
      </c>
    </row>
    <row r="27" spans="1:26" x14ac:dyDescent="0.25">
      <c r="A27" t="str">
        <f t="shared" si="0"/>
        <v>90 TIME- TRACK: 01, 00:05, DISC: 2</v>
      </c>
      <c r="B27" t="s">
        <v>42</v>
      </c>
      <c r="D27" s="5"/>
      <c r="E27" s="5"/>
      <c r="F27" s="5"/>
      <c r="G27" s="5"/>
      <c r="H27" s="5"/>
      <c r="Z27">
        <f t="shared" si="1"/>
        <v>0</v>
      </c>
    </row>
    <row r="28" spans="1:26" x14ac:dyDescent="0.25">
      <c r="A28" t="str">
        <f t="shared" si="0"/>
        <v>01 MASTER REQUEST - SLAVE POLL</v>
      </c>
      <c r="B28" t="s">
        <v>37</v>
      </c>
      <c r="D28" s="5"/>
      <c r="E28" s="5"/>
      <c r="F28" s="5"/>
      <c r="G28" s="5"/>
      <c r="H28" s="5"/>
      <c r="Z28">
        <f t="shared" si="1"/>
        <v>1</v>
      </c>
    </row>
    <row r="29" spans="1:26" x14ac:dyDescent="0.25">
      <c r="A29" t="str">
        <f t="shared" si="0"/>
        <v>00 STATUS - PLAYING</v>
      </c>
      <c r="B29" t="s">
        <v>36</v>
      </c>
      <c r="D29" s="5"/>
      <c r="E29" s="5"/>
      <c r="F29" s="5"/>
      <c r="G29" s="5"/>
      <c r="H29" s="5"/>
      <c r="Z29">
        <f t="shared" si="1"/>
        <v>0</v>
      </c>
    </row>
    <row r="30" spans="1:26" x14ac:dyDescent="0.25">
      <c r="A30" t="str">
        <f t="shared" si="0"/>
        <v>84 REQUEST MORE TEXT FIELDS - SEND MAGAZINE INFO</v>
      </c>
      <c r="B30" t="s">
        <v>14</v>
      </c>
      <c r="D30" s="5"/>
      <c r="E30" s="5"/>
      <c r="F30" s="5"/>
      <c r="G30" s="5"/>
      <c r="H30" s="5"/>
      <c r="Z30">
        <f t="shared" si="1"/>
        <v>1</v>
      </c>
    </row>
    <row r="31" spans="1:26" x14ac:dyDescent="0.25">
      <c r="A31" t="str">
        <f t="shared" si="0"/>
        <v>01 MASTER REQUEST - TIME POLL</v>
      </c>
      <c r="B31" t="s">
        <v>35</v>
      </c>
      <c r="D31" s="5"/>
      <c r="E31" s="5"/>
      <c r="F31" s="5"/>
      <c r="G31" s="5"/>
      <c r="H31" s="5"/>
      <c r="Z31">
        <f t="shared" si="1"/>
        <v>0</v>
      </c>
    </row>
    <row r="32" spans="1:26" x14ac:dyDescent="0.25">
      <c r="A32" t="str">
        <f t="shared" si="0"/>
        <v>00 STATUS - PLAYING</v>
      </c>
      <c r="B32" t="s">
        <v>36</v>
      </c>
      <c r="D32" s="5"/>
      <c r="E32" s="5"/>
      <c r="F32" s="5"/>
      <c r="G32" s="5"/>
      <c r="H32" s="5"/>
      <c r="Z32">
        <f t="shared" si="1"/>
        <v>0</v>
      </c>
    </row>
    <row r="33" spans="1:26" x14ac:dyDescent="0.25">
      <c r="A33" t="str">
        <f t="shared" si="0"/>
        <v>84 REQUEST MORE TEXT FIELDS - SEND DISC INFO</v>
      </c>
      <c r="B33" t="s">
        <v>17</v>
      </c>
      <c r="D33" s="5"/>
      <c r="E33" s="5"/>
      <c r="F33" s="5"/>
      <c r="G33" s="5"/>
      <c r="H33" s="5"/>
      <c r="Z33">
        <f t="shared" si="1"/>
        <v>1</v>
      </c>
    </row>
    <row r="34" spans="1:26" x14ac:dyDescent="0.25">
      <c r="A34" t="str">
        <f t="shared" si="0"/>
        <v>01 MASTER REQUEST - SLAVE POLL</v>
      </c>
      <c r="B34" t="s">
        <v>37</v>
      </c>
      <c r="D34" s="5"/>
      <c r="E34" s="5"/>
      <c r="F34" s="5"/>
      <c r="G34" s="5"/>
      <c r="H34" s="5"/>
      <c r="Z34">
        <f t="shared" si="1"/>
        <v>0</v>
      </c>
    </row>
    <row r="35" spans="1:26" x14ac:dyDescent="0.25">
      <c r="A35" t="str">
        <f t="shared" si="0"/>
        <v>95 MAGAZINE INFO - CD1 YES, CD2 YES, CD3 NO, CD4 NO, CD5 NO, CD6 NO</v>
      </c>
      <c r="B35" t="s">
        <v>38</v>
      </c>
      <c r="D35" s="5"/>
      <c r="E35" s="5"/>
      <c r="F35" s="5"/>
      <c r="G35" s="5"/>
      <c r="H35" s="5"/>
      <c r="Z35">
        <f t="shared" si="1"/>
        <v>0</v>
      </c>
    </row>
    <row r="36" spans="1:26" x14ac:dyDescent="0.25">
      <c r="A36" t="str">
        <f t="shared" si="0"/>
        <v>01 MASTER REQUEST - SLAVE POLL</v>
      </c>
      <c r="B36" t="s">
        <v>37</v>
      </c>
      <c r="D36" s="5"/>
      <c r="E36" s="5"/>
      <c r="F36" s="5"/>
      <c r="G36" s="5"/>
      <c r="H36" s="5"/>
      <c r="Z36">
        <f t="shared" si="1"/>
        <v>1</v>
      </c>
    </row>
    <row r="37" spans="1:26" x14ac:dyDescent="0.25">
      <c r="A37" t="str">
        <f t="shared" si="0"/>
        <v>97 DISC INFO - TRACKS: 69, MINS: 88, SECS: 00, DISC: 2</v>
      </c>
      <c r="B37" t="s">
        <v>39</v>
      </c>
      <c r="D37" s="5"/>
      <c r="E37" s="5"/>
      <c r="F37" s="5"/>
      <c r="G37" s="5"/>
      <c r="H37" s="5"/>
      <c r="Z37">
        <f t="shared" si="1"/>
        <v>0</v>
      </c>
    </row>
    <row r="38" spans="1:26" x14ac:dyDescent="0.25">
      <c r="A38" t="str">
        <f t="shared" si="0"/>
        <v>01 MASTER REQUEST - SLAVE POLL</v>
      </c>
      <c r="B38" t="s">
        <v>37</v>
      </c>
      <c r="D38" s="5"/>
      <c r="E38" s="5"/>
      <c r="F38" s="5"/>
      <c r="G38" s="5"/>
      <c r="H38" s="5"/>
      <c r="Z38">
        <f t="shared" si="1"/>
        <v>1</v>
      </c>
    </row>
    <row r="39" spans="1:26" x14ac:dyDescent="0.25">
      <c r="A39" t="str">
        <f t="shared" si="0"/>
        <v>90 TIME- TRACK: 01, 00:06, DISC: 2</v>
      </c>
      <c r="B39" t="s">
        <v>43</v>
      </c>
      <c r="D39" s="5"/>
      <c r="E39" s="5"/>
      <c r="F39" s="5"/>
      <c r="G39" s="5"/>
      <c r="H39" s="5"/>
      <c r="Z39">
        <f t="shared" si="1"/>
        <v>0</v>
      </c>
    </row>
    <row r="40" spans="1:26" x14ac:dyDescent="0.25">
      <c r="A40" t="str">
        <f t="shared" si="0"/>
        <v>01 MASTER REQUEST - SLAVE POLL</v>
      </c>
      <c r="B40" t="s">
        <v>37</v>
      </c>
      <c r="D40" s="5"/>
      <c r="E40" s="5"/>
      <c r="F40" s="5"/>
      <c r="G40" s="5"/>
      <c r="H40" s="5"/>
      <c r="Z40">
        <f t="shared" si="1"/>
        <v>1</v>
      </c>
    </row>
    <row r="41" spans="1:26" x14ac:dyDescent="0.25">
      <c r="A41" t="str">
        <f t="shared" si="0"/>
        <v>00 STATUS - PLAYING</v>
      </c>
      <c r="B41" t="s">
        <v>36</v>
      </c>
      <c r="D41" s="5"/>
      <c r="E41" s="5"/>
      <c r="F41" s="5"/>
      <c r="G41" s="5"/>
      <c r="H41" s="5"/>
      <c r="Z41">
        <f t="shared" si="1"/>
        <v>0</v>
      </c>
    </row>
    <row r="42" spans="1:26" x14ac:dyDescent="0.25">
      <c r="A42" t="str">
        <f t="shared" si="0"/>
        <v>B0 CHANGE TO DISC 2, TRACK 02</v>
      </c>
      <c r="B42" t="s">
        <v>44</v>
      </c>
      <c r="D42" s="5"/>
      <c r="E42" s="5"/>
      <c r="F42" s="5"/>
      <c r="G42" s="5"/>
      <c r="H42" s="5"/>
      <c r="Z42">
        <f t="shared" si="1"/>
        <v>1</v>
      </c>
    </row>
    <row r="43" spans="1:26" x14ac:dyDescent="0.25">
      <c r="A43" t="str">
        <f t="shared" si="0"/>
        <v>01 MASTER REQUEST - SLAVE POLL</v>
      </c>
      <c r="B43" t="s">
        <v>37</v>
      </c>
      <c r="D43" s="5"/>
      <c r="E43" s="5"/>
      <c r="F43" s="5"/>
      <c r="G43" s="5"/>
      <c r="H43" s="5"/>
      <c r="Z43">
        <f t="shared" si="1"/>
        <v>0</v>
      </c>
    </row>
    <row r="44" spans="1:26" x14ac:dyDescent="0.25">
      <c r="A44" t="str">
        <f t="shared" si="0"/>
        <v>C0 SEEKING TO - (NO PARITY2???) XCARLINK BUG, ALFA 166 ICS DOESN'T ALLOW 13 BYTE RESPONSES!</v>
      </c>
      <c r="B44" t="s">
        <v>45</v>
      </c>
      <c r="D44" s="5"/>
      <c r="E44" s="5"/>
      <c r="F44" s="5"/>
      <c r="G44" s="5"/>
      <c r="H44" s="5"/>
      <c r="Z44">
        <f t="shared" si="1"/>
        <v>0</v>
      </c>
    </row>
    <row r="45" spans="1:26" x14ac:dyDescent="0.25">
      <c r="A45" t="str">
        <f t="shared" si="0"/>
        <v>84 REQUEST MORE TEXT FIELDS - SEND MAGAZINE INFO</v>
      </c>
      <c r="B45" t="s">
        <v>14</v>
      </c>
      <c r="D45" s="5"/>
      <c r="E45" s="5"/>
      <c r="F45" s="5"/>
      <c r="G45" s="5"/>
      <c r="H45" s="5"/>
      <c r="Z45">
        <f t="shared" si="1"/>
        <v>1</v>
      </c>
    </row>
    <row r="46" spans="1:26" x14ac:dyDescent="0.25">
      <c r="A46" t="str">
        <f t="shared" si="0"/>
        <v>01 MASTER REQUEST - TIME POLL</v>
      </c>
      <c r="B46" t="s">
        <v>35</v>
      </c>
      <c r="D46" s="5"/>
      <c r="E46" s="5"/>
      <c r="F46" s="5"/>
      <c r="G46" s="5"/>
      <c r="H46" s="5"/>
      <c r="Z46">
        <f t="shared" si="1"/>
        <v>0</v>
      </c>
    </row>
    <row r="47" spans="1:26" x14ac:dyDescent="0.25">
      <c r="A47" t="str">
        <f t="shared" si="0"/>
        <v>00 STATUS - PLAYING</v>
      </c>
      <c r="B47" t="s">
        <v>36</v>
      </c>
      <c r="D47" s="5"/>
      <c r="E47" s="5"/>
      <c r="F47" s="5"/>
      <c r="G47" s="5"/>
      <c r="H47" s="5"/>
      <c r="Z47">
        <f t="shared" si="1"/>
        <v>0</v>
      </c>
    </row>
    <row r="48" spans="1:26" x14ac:dyDescent="0.25">
      <c r="A48" t="str">
        <f t="shared" si="0"/>
        <v>84 REQUEST MORE TEXT FIELDS - SEND DISC INFO</v>
      </c>
      <c r="B48" t="s">
        <v>17</v>
      </c>
      <c r="D48" s="5"/>
      <c r="E48" s="5"/>
      <c r="F48" s="5"/>
      <c r="G48" s="5"/>
      <c r="H48" s="5"/>
      <c r="Z48">
        <f t="shared" si="1"/>
        <v>1</v>
      </c>
    </row>
    <row r="49" spans="1:26" x14ac:dyDescent="0.25">
      <c r="A49" t="str">
        <f t="shared" si="0"/>
        <v>01 MASTER REQUEST - SLAVE POLL</v>
      </c>
      <c r="B49" t="s">
        <v>37</v>
      </c>
      <c r="D49" s="5"/>
      <c r="E49" s="5"/>
      <c r="F49" s="5"/>
      <c r="G49" s="5"/>
      <c r="H49" s="5"/>
      <c r="Z49">
        <f t="shared" si="1"/>
        <v>0</v>
      </c>
    </row>
    <row r="50" spans="1:26" x14ac:dyDescent="0.25">
      <c r="A50" t="str">
        <f t="shared" si="0"/>
        <v>95 MAGAZINE INFO - CD1 YES, CD2 YES, CD3 NO, CD4 NO, CD5 NO, CD6 NO</v>
      </c>
      <c r="B50" t="s">
        <v>38</v>
      </c>
      <c r="D50" s="5"/>
      <c r="E50" s="5"/>
      <c r="F50" s="5"/>
      <c r="G50" s="5"/>
      <c r="H50" s="5"/>
      <c r="Z50">
        <f t="shared" si="1"/>
        <v>0</v>
      </c>
    </row>
    <row r="51" spans="1:26" x14ac:dyDescent="0.25">
      <c r="A51" t="str">
        <f t="shared" si="0"/>
        <v>01 MASTER REQUEST - SLAVE POLL</v>
      </c>
      <c r="B51" t="s">
        <v>37</v>
      </c>
      <c r="D51" s="5"/>
      <c r="E51" s="5"/>
      <c r="F51" s="5"/>
      <c r="G51" s="5"/>
      <c r="H51" s="5"/>
      <c r="Z51">
        <f t="shared" si="1"/>
        <v>1</v>
      </c>
    </row>
    <row r="52" spans="1:26" x14ac:dyDescent="0.25">
      <c r="A52" t="str">
        <f t="shared" si="0"/>
        <v>97 DISC INFO - TRACKS: 69, MINS: 88, SECS: 00, DISC: 2</v>
      </c>
      <c r="B52" t="s">
        <v>39</v>
      </c>
      <c r="D52" s="5"/>
      <c r="E52" s="5"/>
      <c r="F52" s="5"/>
      <c r="G52" s="5"/>
      <c r="H52" s="5"/>
      <c r="Z52">
        <f t="shared" si="1"/>
        <v>0</v>
      </c>
    </row>
    <row r="53" spans="1:26" x14ac:dyDescent="0.25">
      <c r="A53" t="str">
        <f t="shared" si="0"/>
        <v>01 MASTER REQUEST - SLAVE POLL</v>
      </c>
      <c r="B53" t="s">
        <v>37</v>
      </c>
      <c r="D53" s="5"/>
      <c r="E53" s="5"/>
      <c r="F53" s="5"/>
      <c r="G53" s="5"/>
      <c r="H53" s="5"/>
      <c r="Z53">
        <f t="shared" si="1"/>
        <v>1</v>
      </c>
    </row>
    <row r="54" spans="1:26" x14ac:dyDescent="0.25">
      <c r="A54" t="str">
        <f t="shared" si="0"/>
        <v>90 TIME- TRACK: 02, 00:00, DISC: 2</v>
      </c>
      <c r="B54" t="s">
        <v>46</v>
      </c>
      <c r="D54" s="5"/>
      <c r="E54" s="5"/>
      <c r="F54" s="5"/>
      <c r="G54" s="5"/>
      <c r="H54" s="5"/>
      <c r="Z54">
        <f t="shared" si="1"/>
        <v>0</v>
      </c>
    </row>
    <row r="55" spans="1:26" x14ac:dyDescent="0.25">
      <c r="A55" t="str">
        <f t="shared" si="0"/>
        <v>01 MASTER REQUEST - SLAVE POLL</v>
      </c>
      <c r="B55" t="s">
        <v>37</v>
      </c>
      <c r="D55" s="5"/>
      <c r="E55" s="5"/>
      <c r="F55" s="5"/>
      <c r="G55" s="5"/>
      <c r="H55" s="5"/>
      <c r="Z55">
        <f t="shared" si="1"/>
        <v>1</v>
      </c>
    </row>
    <row r="56" spans="1:26" x14ac:dyDescent="0.25">
      <c r="A56" t="str">
        <f t="shared" si="0"/>
        <v>00 STATUS - PLAYING</v>
      </c>
      <c r="B56" t="s">
        <v>36</v>
      </c>
      <c r="D56" s="5"/>
      <c r="E56" s="5"/>
      <c r="F56" s="5"/>
      <c r="G56" s="5"/>
      <c r="H56" s="5"/>
      <c r="Z56">
        <f t="shared" si="1"/>
        <v>0</v>
      </c>
    </row>
    <row r="57" spans="1:26" x14ac:dyDescent="0.25">
      <c r="A57" t="str">
        <f t="shared" si="0"/>
        <v>84 REQUEST MORE TEXT FIELDS - SEND MAGAZINE INFO</v>
      </c>
      <c r="B57" t="s">
        <v>14</v>
      </c>
      <c r="D57" s="5"/>
      <c r="E57" s="5"/>
      <c r="F57" s="5"/>
      <c r="G57" s="5"/>
      <c r="H57" s="5"/>
      <c r="Z57">
        <f t="shared" si="1"/>
        <v>1</v>
      </c>
    </row>
    <row r="58" spans="1:26" x14ac:dyDescent="0.25">
      <c r="A58" t="str">
        <f t="shared" si="0"/>
        <v>01 MASTER REQUEST - TIME POLL</v>
      </c>
      <c r="B58" t="s">
        <v>35</v>
      </c>
      <c r="D58" s="5"/>
      <c r="E58" s="5"/>
      <c r="F58" s="5"/>
      <c r="G58" s="5"/>
      <c r="H58" s="5"/>
      <c r="Z58">
        <f t="shared" si="1"/>
        <v>0</v>
      </c>
    </row>
    <row r="59" spans="1:26" x14ac:dyDescent="0.25">
      <c r="A59" t="str">
        <f t="shared" si="0"/>
        <v>00 STATUS - PLAYING</v>
      </c>
      <c r="B59" t="s">
        <v>36</v>
      </c>
      <c r="D59" s="5"/>
      <c r="E59" s="5"/>
      <c r="F59" s="5"/>
      <c r="G59" s="5"/>
      <c r="H59" s="5"/>
      <c r="Z59">
        <f t="shared" si="1"/>
        <v>0</v>
      </c>
    </row>
    <row r="60" spans="1:26" x14ac:dyDescent="0.25">
      <c r="A60" t="str">
        <f t="shared" si="0"/>
        <v>01 MASTER REQUEST - SLAVE POLL</v>
      </c>
      <c r="B60" t="s">
        <v>37</v>
      </c>
      <c r="D60" s="5"/>
      <c r="E60" s="5"/>
      <c r="F60" s="5"/>
      <c r="G60" s="5"/>
      <c r="H60" s="5"/>
      <c r="Z60">
        <f t="shared" si="1"/>
        <v>1</v>
      </c>
    </row>
    <row r="61" spans="1:26" x14ac:dyDescent="0.25">
      <c r="A61" t="str">
        <f t="shared" si="0"/>
        <v>C0 SEEKING TO - (NO PARITY2???) XCARLINK BUG, ALFA 166 ICS DOESN'T ALLOW 13 BYTE RESPONSES!</v>
      </c>
      <c r="B61" t="s">
        <v>47</v>
      </c>
      <c r="D61" s="5"/>
      <c r="E61" s="5"/>
      <c r="F61" s="5"/>
      <c r="G61" s="5"/>
      <c r="Z61">
        <f t="shared" si="1"/>
        <v>0</v>
      </c>
    </row>
    <row r="62" spans="1:26" x14ac:dyDescent="0.25">
      <c r="A62" t="str">
        <f t="shared" si="0"/>
        <v>01 MASTER REQUEST - SLAVE POLL</v>
      </c>
      <c r="B62" t="s">
        <v>37</v>
      </c>
      <c r="D62" s="5"/>
      <c r="E62" s="5"/>
      <c r="F62" s="5"/>
      <c r="G62" s="5"/>
      <c r="Z62">
        <f t="shared" si="1"/>
        <v>1</v>
      </c>
    </row>
    <row r="63" spans="1:26" x14ac:dyDescent="0.25">
      <c r="A63" t="str">
        <f t="shared" si="0"/>
        <v>97 DISC INFO - TRACKS: 69, MINS: 88, SECS: 00, DISC: 2</v>
      </c>
      <c r="B63" t="s">
        <v>39</v>
      </c>
      <c r="D63" s="5"/>
      <c r="E63" s="5"/>
      <c r="F63" s="5"/>
      <c r="G63" s="5"/>
      <c r="Z63">
        <f t="shared" si="1"/>
        <v>0</v>
      </c>
    </row>
    <row r="64" spans="1:26" x14ac:dyDescent="0.25">
      <c r="A64" t="str">
        <f t="shared" si="0"/>
        <v>84 REQUEST MORE TEXT FIELDS - SEND DISC INFO</v>
      </c>
      <c r="B64" t="s">
        <v>17</v>
      </c>
      <c r="D64" s="5"/>
      <c r="E64" s="5"/>
      <c r="F64" s="5"/>
      <c r="G64" s="5"/>
      <c r="Z64">
        <f t="shared" si="1"/>
        <v>1</v>
      </c>
    </row>
    <row r="65" spans="1:26" x14ac:dyDescent="0.25">
      <c r="A65" t="str">
        <f t="shared" si="0"/>
        <v>01 MASTER REQUEST - SLAVE POLL</v>
      </c>
      <c r="B65" t="s">
        <v>37</v>
      </c>
      <c r="D65" s="5"/>
      <c r="E65" s="5"/>
      <c r="F65" s="5"/>
      <c r="G65" s="5"/>
      <c r="Z65">
        <f t="shared" si="1"/>
        <v>0</v>
      </c>
    </row>
    <row r="66" spans="1:26" x14ac:dyDescent="0.25">
      <c r="A66" t="str">
        <f t="shared" si="0"/>
        <v>D5 DISC IDENTIFIER</v>
      </c>
      <c r="B66" t="s">
        <v>48</v>
      </c>
      <c r="D66" s="5"/>
      <c r="E66" s="5"/>
      <c r="F66" s="5"/>
      <c r="G66" s="5"/>
      <c r="Z66">
        <f t="shared" si="1"/>
        <v>0</v>
      </c>
    </row>
    <row r="67" spans="1:26" x14ac:dyDescent="0.25">
      <c r="A67" t="str">
        <f t="shared" ref="A67:A130" si="2">ParseUnilink(B67)</f>
        <v>01 MASTER REQUEST - SLAVE POLL</v>
      </c>
      <c r="B67" t="s">
        <v>37</v>
      </c>
      <c r="D67" s="5"/>
      <c r="E67" s="5"/>
      <c r="F67" s="5"/>
      <c r="G67" s="5"/>
      <c r="Z67">
        <f t="shared" ref="Z67:Z130" si="3">IF(    ISNUMBER(SEARCH("10 30",B66,1))  +  ISNUMBER(SEARCH("10 31",B66,1))  +  ISNUMBER(SEARCH("70 30",B66,1))  +  ISNUMBER(SEARCH("70 31",B66,1))  +  ISNUMBER(SEARCH("77 30",B66,1))  +  ISNUMBER(SEARCH("77 31",B66,1)),1,0)</f>
        <v>1</v>
      </c>
    </row>
    <row r="68" spans="1:26" x14ac:dyDescent="0.25">
      <c r="A68" t="str">
        <f t="shared" si="2"/>
        <v>90 TIME- TRACK: 02, 00:00, DISC: 2</v>
      </c>
      <c r="B68" t="s">
        <v>46</v>
      </c>
      <c r="D68" s="5"/>
      <c r="E68" s="5"/>
      <c r="F68" s="5"/>
      <c r="G68" s="5"/>
      <c r="Z68">
        <f t="shared" si="3"/>
        <v>0</v>
      </c>
    </row>
    <row r="69" spans="1:26" x14ac:dyDescent="0.25">
      <c r="A69" t="str">
        <f t="shared" si="2"/>
        <v>01 MASTER REQUEST - SLAVE POLL</v>
      </c>
      <c r="B69" t="s">
        <v>37</v>
      </c>
      <c r="D69" s="5"/>
      <c r="E69" s="5"/>
      <c r="F69" s="5"/>
      <c r="G69" s="5"/>
      <c r="Z69">
        <f t="shared" si="3"/>
        <v>1</v>
      </c>
    </row>
    <row r="70" spans="1:26" x14ac:dyDescent="0.25">
      <c r="A70" t="str">
        <f t="shared" si="2"/>
        <v>97 DISC INFO - TRACKS: 69, MINS: 88, SECS: 00, DISC: 2</v>
      </c>
      <c r="B70" t="s">
        <v>39</v>
      </c>
      <c r="D70" s="5"/>
      <c r="E70" s="5"/>
      <c r="F70" s="5"/>
      <c r="G70" s="5"/>
      <c r="Z70">
        <f t="shared" si="3"/>
        <v>0</v>
      </c>
    </row>
    <row r="71" spans="1:26" x14ac:dyDescent="0.25">
      <c r="A71" t="str">
        <f t="shared" si="2"/>
        <v>01 MASTER REQUEST - SLAVE POLL</v>
      </c>
      <c r="B71" t="s">
        <v>37</v>
      </c>
      <c r="D71" s="5"/>
      <c r="E71" s="5"/>
      <c r="F71" s="5"/>
      <c r="G71" s="5"/>
      <c r="Z71">
        <f t="shared" si="3"/>
        <v>1</v>
      </c>
    </row>
    <row r="72" spans="1:26" x14ac:dyDescent="0.25">
      <c r="A72" t="str">
        <f t="shared" si="2"/>
        <v>00 STATUS - PLAYING</v>
      </c>
      <c r="B72" t="s">
        <v>36</v>
      </c>
      <c r="D72" s="5"/>
      <c r="E72" s="5"/>
      <c r="F72" s="5"/>
      <c r="G72" s="5"/>
      <c r="Z72">
        <f t="shared" si="3"/>
        <v>0</v>
      </c>
    </row>
    <row r="73" spans="1:26" x14ac:dyDescent="0.25">
      <c r="A73" t="str">
        <f t="shared" si="2"/>
        <v>01 MASTER REQUEST - SLAVE POLL</v>
      </c>
      <c r="B73" t="s">
        <v>37</v>
      </c>
      <c r="D73" s="5"/>
      <c r="E73" s="5"/>
      <c r="F73" s="5"/>
      <c r="G73" s="5"/>
      <c r="Z73">
        <f t="shared" si="3"/>
        <v>1</v>
      </c>
    </row>
    <row r="74" spans="1:26" x14ac:dyDescent="0.25">
      <c r="A74" t="str">
        <f t="shared" si="2"/>
        <v>90 TIME- TRACK: 02, 00:01, DISC: 2</v>
      </c>
      <c r="B74" t="s">
        <v>49</v>
      </c>
      <c r="D74" s="5"/>
      <c r="E74" s="5"/>
      <c r="F74" s="5"/>
      <c r="G74" s="5"/>
      <c r="Z74">
        <f t="shared" si="3"/>
        <v>0</v>
      </c>
    </row>
    <row r="75" spans="1:26" x14ac:dyDescent="0.25">
      <c r="A75" t="str">
        <f t="shared" si="2"/>
        <v>01 MASTER REQUEST - SLAVE POLL</v>
      </c>
      <c r="B75" t="s">
        <v>37</v>
      </c>
      <c r="D75" s="5"/>
      <c r="E75" s="5"/>
      <c r="F75" s="5"/>
      <c r="G75" s="5"/>
      <c r="Z75">
        <f t="shared" si="3"/>
        <v>1</v>
      </c>
    </row>
    <row r="76" spans="1:26" x14ac:dyDescent="0.25">
      <c r="A76" t="str">
        <f t="shared" si="2"/>
        <v>00 STATUS - PLAYING</v>
      </c>
      <c r="B76" t="s">
        <v>36</v>
      </c>
      <c r="D76" s="5"/>
      <c r="E76" s="5"/>
      <c r="F76" s="5"/>
      <c r="G76" s="5"/>
      <c r="Z76">
        <f t="shared" si="3"/>
        <v>0</v>
      </c>
    </row>
    <row r="77" spans="1:26" x14ac:dyDescent="0.25">
      <c r="A77" t="str">
        <f t="shared" si="2"/>
        <v>84 REQUEST MORE TEXT FIELDS - SEND MAGAZINE INFO</v>
      </c>
      <c r="B77" t="s">
        <v>14</v>
      </c>
      <c r="D77" s="5"/>
      <c r="E77" s="5"/>
      <c r="F77" s="5"/>
      <c r="G77" s="5"/>
      <c r="Z77">
        <f t="shared" si="3"/>
        <v>1</v>
      </c>
    </row>
    <row r="78" spans="1:26" x14ac:dyDescent="0.25">
      <c r="A78" t="str">
        <f t="shared" si="2"/>
        <v>01 MASTER REQUEST - TIME POLL</v>
      </c>
      <c r="B78" t="s">
        <v>35</v>
      </c>
      <c r="D78" s="5"/>
      <c r="E78" s="5"/>
      <c r="F78" s="5"/>
      <c r="G78" s="5"/>
      <c r="Z78">
        <f t="shared" si="3"/>
        <v>0</v>
      </c>
    </row>
    <row r="79" spans="1:26" x14ac:dyDescent="0.25">
      <c r="A79" t="str">
        <f t="shared" si="2"/>
        <v>00 STATUS - PLAYING</v>
      </c>
      <c r="B79" t="s">
        <v>36</v>
      </c>
      <c r="D79" s="5"/>
      <c r="E79" s="5"/>
      <c r="F79" s="5"/>
      <c r="G79" s="5"/>
      <c r="Z79">
        <f t="shared" si="3"/>
        <v>0</v>
      </c>
    </row>
    <row r="80" spans="1:26" x14ac:dyDescent="0.25">
      <c r="A80" t="str">
        <f t="shared" si="2"/>
        <v>84 REQUEST MORE TEXT FIELDS - SEND DISC INFO</v>
      </c>
      <c r="B80" t="s">
        <v>17</v>
      </c>
      <c r="D80" s="5"/>
      <c r="E80" s="5"/>
      <c r="F80" s="5"/>
      <c r="G80" s="5"/>
      <c r="Z80">
        <f t="shared" si="3"/>
        <v>1</v>
      </c>
    </row>
    <row r="81" spans="1:26" x14ac:dyDescent="0.25">
      <c r="A81" t="str">
        <f t="shared" si="2"/>
        <v>01 MASTER REQUEST - SLAVE POLL</v>
      </c>
      <c r="B81" t="s">
        <v>37</v>
      </c>
      <c r="D81" s="5"/>
      <c r="E81" s="5"/>
      <c r="F81" s="5"/>
      <c r="G81" s="5"/>
      <c r="Z81">
        <f t="shared" si="3"/>
        <v>0</v>
      </c>
    </row>
    <row r="82" spans="1:26" x14ac:dyDescent="0.25">
      <c r="A82" t="str">
        <f t="shared" si="2"/>
        <v>95 MAGAZINE INFO - CD1 YES, CD2 YES, CD3 NO, CD4 NO, CD5 NO, CD6 NO</v>
      </c>
      <c r="B82" t="s">
        <v>38</v>
      </c>
      <c r="D82" s="5"/>
      <c r="E82" s="5"/>
      <c r="F82" s="5"/>
      <c r="G82" s="5"/>
      <c r="Z82">
        <f t="shared" si="3"/>
        <v>0</v>
      </c>
    </row>
    <row r="83" spans="1:26" x14ac:dyDescent="0.25">
      <c r="A83" t="str">
        <f t="shared" si="2"/>
        <v>01 MASTER REQUEST - SLAVE POLL</v>
      </c>
      <c r="B83" t="s">
        <v>37</v>
      </c>
      <c r="D83" s="5"/>
      <c r="E83" s="5"/>
      <c r="F83" s="5"/>
      <c r="G83" s="5"/>
      <c r="Z83">
        <f t="shared" si="3"/>
        <v>1</v>
      </c>
    </row>
    <row r="84" spans="1:26" x14ac:dyDescent="0.25">
      <c r="A84" t="str">
        <f t="shared" si="2"/>
        <v>97 DISC INFO - TRACKS: 69, MINS: 88, SECS: 00, DISC: 2</v>
      </c>
      <c r="B84" t="s">
        <v>39</v>
      </c>
      <c r="D84" s="5"/>
      <c r="E84" s="5"/>
      <c r="F84" s="5"/>
      <c r="G84" s="5"/>
      <c r="Z84">
        <f t="shared" si="3"/>
        <v>0</v>
      </c>
    </row>
    <row r="85" spans="1:26" x14ac:dyDescent="0.25">
      <c r="A85" t="str">
        <f t="shared" si="2"/>
        <v>01 MASTER REQUEST - SLAVE POLL</v>
      </c>
      <c r="B85" t="s">
        <v>37</v>
      </c>
      <c r="D85" s="5"/>
      <c r="E85" s="5"/>
      <c r="F85" s="5"/>
      <c r="G85" s="5"/>
      <c r="Z85">
        <f t="shared" si="3"/>
        <v>1</v>
      </c>
    </row>
    <row r="86" spans="1:26" x14ac:dyDescent="0.25">
      <c r="A86" t="str">
        <f t="shared" si="2"/>
        <v>90 TIME- TRACK: 02, 00:02, DISC: 2</v>
      </c>
      <c r="B86" t="s">
        <v>50</v>
      </c>
      <c r="D86" s="5"/>
      <c r="E86" s="5"/>
      <c r="F86" s="5"/>
      <c r="G86" s="5"/>
      <c r="Z86">
        <f t="shared" si="3"/>
        <v>0</v>
      </c>
    </row>
    <row r="87" spans="1:26" x14ac:dyDescent="0.25">
      <c r="A87" t="str">
        <f t="shared" si="2"/>
        <v>01 MASTER REQUEST - SLAVE POLL</v>
      </c>
      <c r="B87" t="s">
        <v>37</v>
      </c>
      <c r="D87" s="5"/>
      <c r="E87" s="5"/>
      <c r="F87" s="5"/>
      <c r="G87" s="5"/>
      <c r="Z87">
        <f t="shared" si="3"/>
        <v>1</v>
      </c>
    </row>
    <row r="88" spans="1:26" x14ac:dyDescent="0.25">
      <c r="A88" t="str">
        <f t="shared" si="2"/>
        <v>00 STATUS - PLAYING</v>
      </c>
      <c r="B88" t="s">
        <v>36</v>
      </c>
      <c r="D88" s="5"/>
      <c r="E88" s="5"/>
      <c r="F88" s="5"/>
      <c r="G88" s="5"/>
      <c r="Z88">
        <f t="shared" si="3"/>
        <v>0</v>
      </c>
    </row>
    <row r="89" spans="1:26" x14ac:dyDescent="0.25">
      <c r="A89" t="str">
        <f t="shared" si="2"/>
        <v>01 MASTER REQUEST - SLAVE POLL</v>
      </c>
      <c r="B89" t="s">
        <v>37</v>
      </c>
      <c r="D89" s="5"/>
      <c r="E89" s="5"/>
      <c r="F89" s="5"/>
      <c r="G89" s="5"/>
      <c r="Z89">
        <f t="shared" si="3"/>
        <v>1</v>
      </c>
    </row>
    <row r="90" spans="1:26" x14ac:dyDescent="0.25">
      <c r="A90" t="str">
        <f t="shared" si="2"/>
        <v>90 TIME- TRACK: 02, 00:03, DISC: 2</v>
      </c>
      <c r="B90" t="s">
        <v>51</v>
      </c>
      <c r="D90" s="5"/>
      <c r="E90" s="5"/>
      <c r="F90" s="5"/>
      <c r="G90" s="5"/>
      <c r="Z90">
        <f t="shared" si="3"/>
        <v>0</v>
      </c>
    </row>
    <row r="91" spans="1:26" x14ac:dyDescent="0.25">
      <c r="A91" t="str">
        <f t="shared" si="2"/>
        <v>84 REQUEST MORE TEXT FIELDS - SEND MAGAZINE INFO</v>
      </c>
      <c r="B91" t="s">
        <v>14</v>
      </c>
      <c r="D91" s="5"/>
      <c r="E91" s="5"/>
      <c r="F91" s="5"/>
      <c r="G91" s="5"/>
      <c r="Z91">
        <f t="shared" si="3"/>
        <v>1</v>
      </c>
    </row>
    <row r="92" spans="1:26" x14ac:dyDescent="0.25">
      <c r="A92" t="str">
        <f t="shared" si="2"/>
        <v>01 MASTER REQUEST - TIME POLL</v>
      </c>
      <c r="B92" t="s">
        <v>35</v>
      </c>
      <c r="D92" s="5"/>
      <c r="E92" s="5"/>
      <c r="F92" s="5"/>
      <c r="G92" s="5"/>
      <c r="Z92">
        <f t="shared" si="3"/>
        <v>0</v>
      </c>
    </row>
    <row r="93" spans="1:26" x14ac:dyDescent="0.25">
      <c r="A93" t="str">
        <f t="shared" si="2"/>
        <v>00 STATUS - PLAYING</v>
      </c>
      <c r="B93" t="s">
        <v>36</v>
      </c>
      <c r="D93" s="5"/>
      <c r="E93" s="5"/>
      <c r="F93" s="5"/>
      <c r="G93" s="5"/>
      <c r="Z93">
        <f t="shared" si="3"/>
        <v>0</v>
      </c>
    </row>
    <row r="94" spans="1:26" x14ac:dyDescent="0.25">
      <c r="A94" t="str">
        <f t="shared" si="2"/>
        <v>84 REQUEST MORE TEXT FIELDS - SEND DISC INFO</v>
      </c>
      <c r="B94" t="s">
        <v>17</v>
      </c>
      <c r="D94" s="5"/>
      <c r="E94" s="5"/>
      <c r="F94" s="5"/>
      <c r="G94" s="5"/>
      <c r="Z94">
        <f t="shared" si="3"/>
        <v>1</v>
      </c>
    </row>
    <row r="95" spans="1:26" x14ac:dyDescent="0.25">
      <c r="A95" t="str">
        <f t="shared" si="2"/>
        <v>01 MASTER REQUEST - SLAVE POLL</v>
      </c>
      <c r="B95" t="s">
        <v>37</v>
      </c>
      <c r="D95" s="5"/>
      <c r="E95" s="5"/>
      <c r="F95" s="5"/>
      <c r="G95" s="5"/>
      <c r="Z95">
        <f t="shared" si="3"/>
        <v>0</v>
      </c>
    </row>
    <row r="96" spans="1:26" x14ac:dyDescent="0.25">
      <c r="A96" t="str">
        <f t="shared" si="2"/>
        <v>95 MAGAZINE INFO - CD1 YES, CD2 YES, CD3 NO, CD4 NO, CD5 NO, CD6 NO</v>
      </c>
      <c r="B96" t="s">
        <v>38</v>
      </c>
      <c r="D96" s="5"/>
      <c r="E96" s="5"/>
      <c r="F96" s="5"/>
      <c r="G96" s="5"/>
      <c r="Z96">
        <f t="shared" si="3"/>
        <v>0</v>
      </c>
    </row>
    <row r="97" spans="1:26" x14ac:dyDescent="0.25">
      <c r="A97" t="str">
        <f t="shared" si="2"/>
        <v>01 MASTER REQUEST - SLAVE POLL</v>
      </c>
      <c r="B97" t="s">
        <v>37</v>
      </c>
      <c r="D97" s="5"/>
      <c r="E97" s="5"/>
      <c r="F97" s="5"/>
      <c r="G97" s="5"/>
      <c r="Z97">
        <f t="shared" si="3"/>
        <v>1</v>
      </c>
    </row>
    <row r="98" spans="1:26" x14ac:dyDescent="0.25">
      <c r="A98" t="str">
        <f t="shared" si="2"/>
        <v>97 DISC INFO - TRACKS: 69, MINS: 88, SECS: 00, DISC: 2</v>
      </c>
      <c r="B98" t="s">
        <v>39</v>
      </c>
      <c r="D98" s="5"/>
      <c r="E98" s="5"/>
      <c r="F98" s="5"/>
      <c r="G98" s="5"/>
      <c r="Z98">
        <f t="shared" si="3"/>
        <v>0</v>
      </c>
    </row>
    <row r="99" spans="1:26" x14ac:dyDescent="0.25">
      <c r="A99" t="str">
        <f t="shared" si="2"/>
        <v>B0 CHANGE TO DISC 2, TRACK 03</v>
      </c>
      <c r="B99" t="s">
        <v>52</v>
      </c>
      <c r="D99" s="5"/>
      <c r="E99" s="5"/>
      <c r="F99" s="5"/>
      <c r="G99" s="5"/>
      <c r="Z99">
        <f t="shared" si="3"/>
        <v>1</v>
      </c>
    </row>
    <row r="100" spans="1:26" x14ac:dyDescent="0.25">
      <c r="A100" t="str">
        <f t="shared" si="2"/>
        <v>01 MASTER REQUEST - SLAVE POLL</v>
      </c>
      <c r="B100" t="s">
        <v>37</v>
      </c>
      <c r="D100" s="5"/>
      <c r="E100" s="5"/>
      <c r="F100" s="5"/>
      <c r="G100" s="5"/>
      <c r="Z100">
        <f t="shared" si="3"/>
        <v>0</v>
      </c>
    </row>
    <row r="101" spans="1:26" x14ac:dyDescent="0.25">
      <c r="A101" t="str">
        <f t="shared" si="2"/>
        <v>C0 SEEKING TO - (NO PARITY2???) XCARLINK BUG, ALFA 166 ICS DOESN'T ALLOW 13 BYTE RESPONSES!</v>
      </c>
      <c r="B101" t="s">
        <v>53</v>
      </c>
      <c r="D101" s="5"/>
      <c r="E101" s="5"/>
      <c r="F101" s="5"/>
      <c r="G101" s="5"/>
      <c r="Z101">
        <f t="shared" si="3"/>
        <v>0</v>
      </c>
    </row>
    <row r="102" spans="1:26" x14ac:dyDescent="0.25">
      <c r="A102" t="str">
        <f t="shared" si="2"/>
        <v>84 REQUEST MORE TEXT FIELDS - SEND MAGAZINE INFO</v>
      </c>
      <c r="B102" t="s">
        <v>14</v>
      </c>
      <c r="D102" s="5"/>
      <c r="E102" s="5"/>
      <c r="F102" s="5"/>
      <c r="G102" s="5"/>
      <c r="Z102">
        <f t="shared" si="3"/>
        <v>1</v>
      </c>
    </row>
    <row r="103" spans="1:26" x14ac:dyDescent="0.25">
      <c r="A103" t="str">
        <f t="shared" si="2"/>
        <v>01 MASTER REQUEST - TIME POLL</v>
      </c>
      <c r="B103" t="s">
        <v>35</v>
      </c>
      <c r="D103" s="5"/>
      <c r="E103" s="5"/>
      <c r="F103" s="5"/>
      <c r="G103" s="5"/>
      <c r="Z103">
        <f t="shared" si="3"/>
        <v>0</v>
      </c>
    </row>
    <row r="104" spans="1:26" x14ac:dyDescent="0.25">
      <c r="A104" t="str">
        <f t="shared" si="2"/>
        <v>00 STATUS - PLAYING</v>
      </c>
      <c r="B104" t="s">
        <v>36</v>
      </c>
      <c r="D104" s="5"/>
      <c r="E104" s="5"/>
      <c r="F104" s="5"/>
      <c r="G104" s="5"/>
      <c r="Z104">
        <f t="shared" si="3"/>
        <v>0</v>
      </c>
    </row>
    <row r="105" spans="1:26" x14ac:dyDescent="0.25">
      <c r="A105" t="str">
        <f t="shared" si="2"/>
        <v>01 MASTER REQUEST - SLAVE POLL</v>
      </c>
      <c r="B105" t="s">
        <v>37</v>
      </c>
      <c r="D105" s="5"/>
      <c r="E105" s="5"/>
      <c r="F105" s="5"/>
      <c r="G105" s="5"/>
      <c r="Z105">
        <f t="shared" si="3"/>
        <v>1</v>
      </c>
    </row>
    <row r="106" spans="1:26" x14ac:dyDescent="0.25">
      <c r="A106" t="str">
        <f t="shared" si="2"/>
        <v>95 MAGAZINE INFO - CD1 YES, CD2 YES, CD3 NO, CD4 NO, CD5 NO, CD6 NO</v>
      </c>
      <c r="B106" t="s">
        <v>38</v>
      </c>
      <c r="D106" s="5"/>
      <c r="E106" s="5"/>
      <c r="F106" s="5"/>
      <c r="G106" s="5"/>
      <c r="Z106">
        <f t="shared" si="3"/>
        <v>0</v>
      </c>
    </row>
    <row r="107" spans="1:26" x14ac:dyDescent="0.25">
      <c r="A107" t="str">
        <f t="shared" si="2"/>
        <v>84 REQUEST MORE TEXT FIELDS - SEND DISC INFO</v>
      </c>
      <c r="B107" t="s">
        <v>17</v>
      </c>
      <c r="D107" s="5"/>
      <c r="E107" s="5"/>
      <c r="F107" s="5"/>
      <c r="G107" s="5"/>
      <c r="Z107">
        <f t="shared" si="3"/>
        <v>1</v>
      </c>
    </row>
    <row r="108" spans="1:26" x14ac:dyDescent="0.25">
      <c r="A108" t="str">
        <f t="shared" si="2"/>
        <v>01 MASTER REQUEST - SLAVE POLL</v>
      </c>
      <c r="B108" t="s">
        <v>37</v>
      </c>
      <c r="D108" s="5"/>
      <c r="E108" s="5"/>
      <c r="F108" s="5"/>
      <c r="G108" s="5"/>
      <c r="Z108">
        <f t="shared" si="3"/>
        <v>0</v>
      </c>
    </row>
    <row r="109" spans="1:26" x14ac:dyDescent="0.25">
      <c r="A109" t="str">
        <f t="shared" si="2"/>
        <v>90 TIME- TRACK: 03, 00:00, DISC: 2</v>
      </c>
      <c r="B109" t="s">
        <v>54</v>
      </c>
      <c r="D109" s="5"/>
      <c r="E109" s="5"/>
      <c r="F109" s="5"/>
      <c r="G109" s="5"/>
      <c r="Z109">
        <f t="shared" si="3"/>
        <v>0</v>
      </c>
    </row>
    <row r="110" spans="1:26" x14ac:dyDescent="0.25">
      <c r="A110" t="str">
        <f t="shared" si="2"/>
        <v>01 MASTER REQUEST - SLAVE POLL</v>
      </c>
      <c r="B110" t="s">
        <v>37</v>
      </c>
      <c r="D110" s="5"/>
      <c r="E110" s="5"/>
      <c r="F110" s="5"/>
      <c r="G110" s="5"/>
      <c r="Z110">
        <f t="shared" si="3"/>
        <v>1</v>
      </c>
    </row>
    <row r="111" spans="1:26" x14ac:dyDescent="0.25">
      <c r="A111" t="str">
        <f t="shared" si="2"/>
        <v>97 DISC INFO - TRACKS: 69, MINS: 88, SECS: 00, DISC: 2</v>
      </c>
      <c r="B111" t="s">
        <v>39</v>
      </c>
      <c r="D111" s="5"/>
      <c r="E111" s="5"/>
      <c r="F111" s="5"/>
      <c r="G111" s="5"/>
      <c r="Z111">
        <f t="shared" si="3"/>
        <v>0</v>
      </c>
    </row>
    <row r="112" spans="1:26" x14ac:dyDescent="0.25">
      <c r="A112" t="str">
        <f t="shared" si="2"/>
        <v>01 MASTER REQUEST - SLAVE POLL</v>
      </c>
      <c r="B112" t="s">
        <v>37</v>
      </c>
      <c r="D112" s="5"/>
      <c r="E112" s="5"/>
      <c r="F112" s="5"/>
      <c r="G112" s="5"/>
      <c r="Z112">
        <f t="shared" si="3"/>
        <v>1</v>
      </c>
    </row>
    <row r="113" spans="1:26" x14ac:dyDescent="0.25">
      <c r="A113" t="str">
        <f t="shared" si="2"/>
        <v>C0 SEEKING TO - (NO PARITY2???) XCARLINK BUG, ALFA 166 ICS DOESN'T ALLOW 13 BYTE RESPONSES!</v>
      </c>
      <c r="B113" t="s">
        <v>55</v>
      </c>
      <c r="D113" s="5"/>
      <c r="E113" s="5"/>
      <c r="F113" s="5"/>
      <c r="G113" s="5"/>
      <c r="Z113">
        <f t="shared" si="3"/>
        <v>0</v>
      </c>
    </row>
    <row r="114" spans="1:26" x14ac:dyDescent="0.25">
      <c r="A114" t="str">
        <f t="shared" si="2"/>
        <v>01 MASTER REQUEST - SLAVE POLL</v>
      </c>
      <c r="B114" t="s">
        <v>37</v>
      </c>
      <c r="D114" s="5"/>
      <c r="E114" s="5"/>
      <c r="F114" s="5"/>
      <c r="G114" s="5"/>
      <c r="Z114">
        <f t="shared" si="3"/>
        <v>1</v>
      </c>
    </row>
    <row r="115" spans="1:26" x14ac:dyDescent="0.25">
      <c r="A115" t="str">
        <f t="shared" si="2"/>
        <v>97 DISC INFO - TRACKS: 69, MINS: 88, SECS: 00, DISC: 2</v>
      </c>
      <c r="B115" t="s">
        <v>39</v>
      </c>
      <c r="D115" s="5"/>
      <c r="E115" s="5"/>
      <c r="F115" s="5"/>
      <c r="G115" s="5"/>
      <c r="Z115">
        <f t="shared" si="3"/>
        <v>0</v>
      </c>
    </row>
    <row r="116" spans="1:26" x14ac:dyDescent="0.25">
      <c r="A116" t="str">
        <f t="shared" si="2"/>
        <v>01 MASTER REQUEST - SLAVE POLL</v>
      </c>
      <c r="B116" t="s">
        <v>37</v>
      </c>
      <c r="D116" s="5"/>
      <c r="E116" s="5"/>
      <c r="F116" s="5"/>
      <c r="G116" s="5"/>
      <c r="Z116">
        <f t="shared" si="3"/>
        <v>1</v>
      </c>
    </row>
    <row r="117" spans="1:26" x14ac:dyDescent="0.25">
      <c r="A117" t="str">
        <f t="shared" si="2"/>
        <v>D5 DISC IDENTIFIER</v>
      </c>
      <c r="B117" t="s">
        <v>48</v>
      </c>
      <c r="D117" s="5"/>
      <c r="E117" s="5"/>
      <c r="F117" s="5"/>
      <c r="G117" s="5"/>
      <c r="Z117">
        <f t="shared" si="3"/>
        <v>0</v>
      </c>
    </row>
    <row r="118" spans="1:26" x14ac:dyDescent="0.25">
      <c r="A118" t="str">
        <f t="shared" si="2"/>
        <v>01 MASTER REQUEST - SLAVE POLL</v>
      </c>
      <c r="B118" t="s">
        <v>37</v>
      </c>
      <c r="D118" s="5"/>
      <c r="E118" s="5"/>
      <c r="F118" s="5"/>
      <c r="G118" s="5"/>
      <c r="Z118">
        <f t="shared" si="3"/>
        <v>1</v>
      </c>
    </row>
    <row r="119" spans="1:26" x14ac:dyDescent="0.25">
      <c r="A119" t="str">
        <f t="shared" si="2"/>
        <v>90 TIME- TRACK: 03, 00:00, DISC: 2</v>
      </c>
      <c r="B119" t="s">
        <v>54</v>
      </c>
      <c r="D119" s="5"/>
      <c r="E119" s="5"/>
      <c r="F119" s="5"/>
      <c r="G119" s="5"/>
      <c r="Z119">
        <f t="shared" si="3"/>
        <v>0</v>
      </c>
    </row>
    <row r="120" spans="1:26" x14ac:dyDescent="0.25">
      <c r="A120" t="str">
        <f t="shared" si="2"/>
        <v>84 REQUEST MORE TEXT FIELDS - SEND MAGAZINE INFO</v>
      </c>
      <c r="B120" t="s">
        <v>14</v>
      </c>
      <c r="D120" s="5"/>
      <c r="E120" s="5"/>
      <c r="F120" s="5"/>
      <c r="G120" s="5"/>
      <c r="Z120">
        <f t="shared" si="3"/>
        <v>1</v>
      </c>
    </row>
    <row r="121" spans="1:26" x14ac:dyDescent="0.25">
      <c r="A121" t="str">
        <f t="shared" si="2"/>
        <v>01 MASTER REQUEST - TIME POLL</v>
      </c>
      <c r="B121" t="s">
        <v>35</v>
      </c>
      <c r="D121" s="5"/>
      <c r="E121" s="5"/>
      <c r="F121" s="5"/>
      <c r="G121" s="5"/>
      <c r="Z121">
        <f t="shared" si="3"/>
        <v>0</v>
      </c>
    </row>
    <row r="122" spans="1:26" x14ac:dyDescent="0.25">
      <c r="A122" t="str">
        <f t="shared" si="2"/>
        <v>00 STATUS - PLAYING</v>
      </c>
      <c r="B122" t="s">
        <v>36</v>
      </c>
      <c r="D122" s="5"/>
      <c r="E122" s="5"/>
      <c r="F122" s="5"/>
      <c r="G122" s="5"/>
      <c r="Z122">
        <f t="shared" si="3"/>
        <v>0</v>
      </c>
    </row>
    <row r="123" spans="1:26" x14ac:dyDescent="0.25">
      <c r="A123" t="str">
        <f t="shared" si="2"/>
        <v>84 REQUEST MORE TEXT FIELDS - SEND DISC INFO</v>
      </c>
      <c r="B123" t="s">
        <v>17</v>
      </c>
      <c r="D123" s="5"/>
      <c r="E123" s="5"/>
      <c r="F123" s="5"/>
      <c r="G123" s="5"/>
      <c r="Z123">
        <f t="shared" si="3"/>
        <v>1</v>
      </c>
    </row>
    <row r="124" spans="1:26" x14ac:dyDescent="0.25">
      <c r="A124" t="str">
        <f t="shared" si="2"/>
        <v>01 MASTER REQUEST - SLAVE POLL</v>
      </c>
      <c r="B124" t="s">
        <v>37</v>
      </c>
      <c r="D124" s="5"/>
      <c r="E124" s="5"/>
      <c r="F124" s="5"/>
      <c r="G124" s="5"/>
      <c r="Z124">
        <f t="shared" si="3"/>
        <v>0</v>
      </c>
    </row>
    <row r="125" spans="1:26" x14ac:dyDescent="0.25">
      <c r="A125" t="str">
        <f t="shared" si="2"/>
        <v>95 MAGAZINE INFO - CD1 YES, CD2 YES, CD3 NO, CD4 NO, CD5 NO, CD6 NO</v>
      </c>
      <c r="B125" t="s">
        <v>38</v>
      </c>
      <c r="D125" s="5"/>
      <c r="E125" s="5"/>
      <c r="F125" s="5"/>
      <c r="G125" s="5"/>
      <c r="Z125">
        <f t="shared" si="3"/>
        <v>0</v>
      </c>
    </row>
    <row r="126" spans="1:26" x14ac:dyDescent="0.25">
      <c r="A126" t="str">
        <f t="shared" si="2"/>
        <v>01 MASTER REQUEST - SLAVE POLL</v>
      </c>
      <c r="B126" t="s">
        <v>37</v>
      </c>
      <c r="D126" s="5"/>
      <c r="E126" s="5"/>
      <c r="F126" s="5"/>
      <c r="G126" s="5"/>
      <c r="Z126">
        <f t="shared" si="3"/>
        <v>1</v>
      </c>
    </row>
    <row r="127" spans="1:26" x14ac:dyDescent="0.25">
      <c r="A127" t="str">
        <f t="shared" si="2"/>
        <v>97 DISC INFO - TRACKS: 69, MINS: 88, SECS: 00, DISC: 2</v>
      </c>
      <c r="B127" t="s">
        <v>39</v>
      </c>
      <c r="D127" s="5"/>
      <c r="E127" s="5"/>
      <c r="F127" s="5"/>
      <c r="G127" s="5"/>
      <c r="Z127">
        <f t="shared" si="3"/>
        <v>0</v>
      </c>
    </row>
    <row r="128" spans="1:26" x14ac:dyDescent="0.25">
      <c r="A128" t="str">
        <f t="shared" si="2"/>
        <v>01 MASTER REQUEST - SLAVE POLL</v>
      </c>
      <c r="B128" t="s">
        <v>37</v>
      </c>
      <c r="D128" s="5"/>
      <c r="E128" s="5"/>
      <c r="F128" s="5"/>
      <c r="G128" s="5"/>
      <c r="Z128">
        <f t="shared" si="3"/>
        <v>1</v>
      </c>
    </row>
    <row r="129" spans="1:26" x14ac:dyDescent="0.25">
      <c r="A129" t="str">
        <f t="shared" si="2"/>
        <v>90 TIME- TRACK: 03, 00:01, DISC: 2</v>
      </c>
      <c r="B129" t="s">
        <v>56</v>
      </c>
      <c r="D129" s="5"/>
      <c r="E129" s="5"/>
      <c r="F129" s="5"/>
      <c r="G129" s="5"/>
      <c r="Z129">
        <f t="shared" si="3"/>
        <v>0</v>
      </c>
    </row>
    <row r="130" spans="1:26" x14ac:dyDescent="0.25">
      <c r="A130" t="str">
        <f t="shared" si="2"/>
        <v>01 MASTER REQUEST - SLAVE POLL</v>
      </c>
      <c r="B130" t="s">
        <v>37</v>
      </c>
      <c r="D130" s="5"/>
      <c r="E130" s="5"/>
      <c r="F130" s="5"/>
      <c r="G130" s="5"/>
      <c r="Z130">
        <f t="shared" si="3"/>
        <v>1</v>
      </c>
    </row>
    <row r="131" spans="1:26" x14ac:dyDescent="0.25">
      <c r="A131" t="str">
        <f t="shared" ref="A131:A194" si="4">ParseUnilink(B131)</f>
        <v>00 STATUS - PLAYING</v>
      </c>
      <c r="B131" t="s">
        <v>36</v>
      </c>
      <c r="D131" s="5"/>
      <c r="E131" s="5"/>
      <c r="F131" s="5"/>
      <c r="G131" s="5"/>
      <c r="Z131">
        <f t="shared" ref="Z131:Z194" si="5">IF(    ISNUMBER(SEARCH("10 30",B130,1))  +  ISNUMBER(SEARCH("10 31",B130,1))  +  ISNUMBER(SEARCH("70 30",B130,1))  +  ISNUMBER(SEARCH("70 31",B130,1))  +  ISNUMBER(SEARCH("77 30",B130,1))  +  ISNUMBER(SEARCH("77 31",B130,1)),1,0)</f>
        <v>0</v>
      </c>
    </row>
    <row r="132" spans="1:26" x14ac:dyDescent="0.25">
      <c r="A132" t="str">
        <f t="shared" si="4"/>
        <v>84 REQUEST MORE TEXT FIELDS - SEND MAGAZINE INFO</v>
      </c>
      <c r="B132" t="s">
        <v>14</v>
      </c>
      <c r="D132" s="5"/>
      <c r="E132" s="5"/>
      <c r="F132" s="5"/>
      <c r="G132" s="5"/>
      <c r="Z132">
        <f t="shared" si="5"/>
        <v>1</v>
      </c>
    </row>
    <row r="133" spans="1:26" x14ac:dyDescent="0.25">
      <c r="A133" t="str">
        <f t="shared" si="4"/>
        <v>01 MASTER REQUEST - TIME POLL</v>
      </c>
      <c r="B133" t="s">
        <v>35</v>
      </c>
      <c r="D133" s="5"/>
      <c r="E133" s="5"/>
      <c r="F133" s="5"/>
      <c r="G133" s="5"/>
      <c r="Z133">
        <f t="shared" si="5"/>
        <v>0</v>
      </c>
    </row>
    <row r="134" spans="1:26" x14ac:dyDescent="0.25">
      <c r="A134" t="str">
        <f t="shared" si="4"/>
        <v>00 STATUS - PLAYING</v>
      </c>
      <c r="B134" t="s">
        <v>36</v>
      </c>
      <c r="D134" s="5"/>
      <c r="E134" s="5"/>
      <c r="F134" s="5"/>
      <c r="G134" s="5"/>
      <c r="Z134">
        <f t="shared" si="5"/>
        <v>0</v>
      </c>
    </row>
    <row r="135" spans="1:26" x14ac:dyDescent="0.25">
      <c r="A135" t="str">
        <f t="shared" si="4"/>
        <v>84 REQUEST MORE TEXT FIELDS - SEND DISC INFO</v>
      </c>
      <c r="B135" t="s">
        <v>17</v>
      </c>
      <c r="D135" s="5"/>
      <c r="E135" s="5"/>
      <c r="F135" s="5"/>
      <c r="G135" s="5"/>
      <c r="Z135">
        <f t="shared" si="5"/>
        <v>1</v>
      </c>
    </row>
    <row r="136" spans="1:26" x14ac:dyDescent="0.25">
      <c r="A136" t="str">
        <f t="shared" si="4"/>
        <v>01 MASTER REQUEST - SLAVE POLL</v>
      </c>
      <c r="B136" t="s">
        <v>37</v>
      </c>
      <c r="D136" s="5"/>
      <c r="E136" s="5"/>
      <c r="F136" s="5"/>
      <c r="G136" s="5"/>
      <c r="Z136">
        <f t="shared" si="5"/>
        <v>0</v>
      </c>
    </row>
    <row r="137" spans="1:26" x14ac:dyDescent="0.25">
      <c r="A137" t="str">
        <f t="shared" si="4"/>
        <v>95 MAGAZINE INFO - CD1 YES, CD2 YES, CD3 NO, CD4 NO, CD5 NO, CD6 NO</v>
      </c>
      <c r="B137" t="s">
        <v>38</v>
      </c>
      <c r="D137" s="5"/>
      <c r="E137" s="5"/>
      <c r="F137" s="5"/>
      <c r="G137" s="5"/>
      <c r="Z137">
        <f t="shared" si="5"/>
        <v>0</v>
      </c>
    </row>
    <row r="138" spans="1:26" x14ac:dyDescent="0.25">
      <c r="A138" t="str">
        <f t="shared" si="4"/>
        <v>01 MASTER REQUEST - SLAVE POLL</v>
      </c>
      <c r="B138" t="s">
        <v>37</v>
      </c>
      <c r="D138" s="5"/>
      <c r="E138" s="5"/>
      <c r="F138" s="5"/>
      <c r="G138" s="5"/>
      <c r="Z138">
        <f t="shared" si="5"/>
        <v>1</v>
      </c>
    </row>
    <row r="139" spans="1:26" x14ac:dyDescent="0.25">
      <c r="A139" t="str">
        <f t="shared" si="4"/>
        <v>97 DISC INFO - TRACKS: 69, MINS: 88, SECS: 00, DISC: 2</v>
      </c>
      <c r="B139" t="s">
        <v>39</v>
      </c>
      <c r="D139" s="5"/>
      <c r="E139" s="5"/>
      <c r="F139" s="5"/>
      <c r="G139" s="5"/>
      <c r="Z139">
        <f t="shared" si="5"/>
        <v>0</v>
      </c>
    </row>
    <row r="140" spans="1:26" x14ac:dyDescent="0.25">
      <c r="A140" t="str">
        <f t="shared" si="4"/>
        <v>01 MASTER REQUEST - SLAVE POLL</v>
      </c>
      <c r="B140" t="s">
        <v>37</v>
      </c>
      <c r="D140" s="5"/>
      <c r="E140" s="5"/>
      <c r="F140" s="5"/>
      <c r="G140" s="5"/>
      <c r="Z140">
        <f t="shared" si="5"/>
        <v>1</v>
      </c>
    </row>
    <row r="141" spans="1:26" x14ac:dyDescent="0.25">
      <c r="A141" t="str">
        <f t="shared" si="4"/>
        <v>90 TIME- TRACK: 03, 00:02, DISC: 2</v>
      </c>
      <c r="B141" t="s">
        <v>57</v>
      </c>
      <c r="D141" s="5"/>
      <c r="E141" s="5"/>
      <c r="F141" s="5"/>
      <c r="G141" s="5"/>
      <c r="Z141">
        <f t="shared" si="5"/>
        <v>0</v>
      </c>
    </row>
    <row r="142" spans="1:26" x14ac:dyDescent="0.25">
      <c r="A142" t="str">
        <f t="shared" si="4"/>
        <v>84 REQUEST MORE TEXT FIELDS - SEND MAGAZINE INFO</v>
      </c>
      <c r="B142" t="s">
        <v>14</v>
      </c>
      <c r="D142" s="5"/>
      <c r="E142" s="5"/>
      <c r="F142" s="5"/>
      <c r="G142" s="5"/>
      <c r="Z142">
        <f t="shared" si="5"/>
        <v>1</v>
      </c>
    </row>
    <row r="143" spans="1:26" x14ac:dyDescent="0.25">
      <c r="A143" t="str">
        <f t="shared" si="4"/>
        <v>01 MASTER REQUEST - TIME POLL</v>
      </c>
      <c r="B143" t="s">
        <v>35</v>
      </c>
      <c r="D143" s="5"/>
      <c r="E143" s="5"/>
      <c r="F143" s="5"/>
      <c r="G143" s="5"/>
      <c r="Z143">
        <f t="shared" si="5"/>
        <v>0</v>
      </c>
    </row>
    <row r="144" spans="1:26" x14ac:dyDescent="0.25">
      <c r="A144" t="str">
        <f t="shared" si="4"/>
        <v>00 STATUS - PLAYING</v>
      </c>
      <c r="B144" t="s">
        <v>36</v>
      </c>
      <c r="D144" s="5"/>
      <c r="E144" s="5"/>
      <c r="F144" s="5"/>
      <c r="G144" s="5"/>
      <c r="Z144">
        <f t="shared" si="5"/>
        <v>0</v>
      </c>
    </row>
    <row r="145" spans="1:26" x14ac:dyDescent="0.25">
      <c r="A145" t="str">
        <f t="shared" si="4"/>
        <v>84 REQUEST MORE TEXT FIELDS - SEND DISC INFO</v>
      </c>
      <c r="B145" t="s">
        <v>17</v>
      </c>
      <c r="D145" s="5"/>
      <c r="E145" s="5"/>
      <c r="F145" s="5"/>
      <c r="G145" s="5"/>
      <c r="Z145">
        <f t="shared" si="5"/>
        <v>1</v>
      </c>
    </row>
    <row r="146" spans="1:26" x14ac:dyDescent="0.25">
      <c r="A146" t="str">
        <f t="shared" si="4"/>
        <v>B0 CHANGE TO DISC 1, TRACK 00</v>
      </c>
      <c r="B146" t="s">
        <v>58</v>
      </c>
      <c r="D146" s="5"/>
      <c r="E146" s="5"/>
      <c r="F146" s="5"/>
      <c r="G146" s="5"/>
      <c r="Z146">
        <f t="shared" si="5"/>
        <v>0</v>
      </c>
    </row>
    <row r="147" spans="1:26" x14ac:dyDescent="0.25">
      <c r="A147" t="str">
        <f t="shared" si="4"/>
        <v>01 MASTER REQUEST - SLAVE POLL</v>
      </c>
      <c r="B147" t="s">
        <v>37</v>
      </c>
      <c r="D147" s="5"/>
      <c r="E147" s="5"/>
      <c r="F147" s="5"/>
      <c r="G147" s="5"/>
      <c r="Z147">
        <f t="shared" si="5"/>
        <v>0</v>
      </c>
    </row>
    <row r="148" spans="1:26" x14ac:dyDescent="0.25">
      <c r="A148" t="str">
        <f t="shared" si="4"/>
        <v>C0 SEEKING TO - (NO PARITY2???) XCARLINK BUG, ALFA 166 ICS DOESN'T ALLOW 13 BYTE RESPONSES!</v>
      </c>
      <c r="B148" t="s">
        <v>59</v>
      </c>
      <c r="D148" s="5"/>
      <c r="E148" s="5"/>
      <c r="F148" s="5"/>
      <c r="G148" s="5"/>
      <c r="Z148">
        <f t="shared" si="5"/>
        <v>0</v>
      </c>
    </row>
    <row r="149" spans="1:26" x14ac:dyDescent="0.25">
      <c r="A149" t="str">
        <f t="shared" si="4"/>
        <v>01 MASTER REQUEST - SLAVE POLL</v>
      </c>
      <c r="B149" t="s">
        <v>37</v>
      </c>
      <c r="D149" s="5"/>
      <c r="E149" s="5"/>
      <c r="F149" s="5"/>
      <c r="G149" s="5"/>
      <c r="Z149">
        <f t="shared" si="5"/>
        <v>1</v>
      </c>
    </row>
    <row r="150" spans="1:26" x14ac:dyDescent="0.25">
      <c r="A150" t="str">
        <f t="shared" si="4"/>
        <v>00 STATUS - PLAYING</v>
      </c>
      <c r="B150" t="s">
        <v>36</v>
      </c>
      <c r="D150" s="5"/>
      <c r="E150" s="5"/>
      <c r="F150" s="5"/>
      <c r="G150" s="5"/>
      <c r="Z150">
        <f t="shared" si="5"/>
        <v>0</v>
      </c>
    </row>
    <row r="151" spans="1:26" x14ac:dyDescent="0.25">
      <c r="A151" t="str">
        <f t="shared" si="4"/>
        <v>84 REQUEST MORE TEXT FIELDS - SEND MAGAZINE INFO</v>
      </c>
      <c r="B151" t="s">
        <v>14</v>
      </c>
      <c r="D151" s="5"/>
      <c r="E151" s="5"/>
      <c r="F151" s="5"/>
      <c r="G151" s="5"/>
      <c r="Z151">
        <f t="shared" si="5"/>
        <v>1</v>
      </c>
    </row>
    <row r="152" spans="1:26" x14ac:dyDescent="0.25">
      <c r="A152" t="str">
        <f t="shared" si="4"/>
        <v>01 MASTER REQUEST - TIME POLL</v>
      </c>
      <c r="B152" t="s">
        <v>35</v>
      </c>
      <c r="D152" s="5"/>
      <c r="E152" s="5"/>
      <c r="F152" s="5"/>
      <c r="G152" s="5"/>
      <c r="Z152">
        <f t="shared" si="5"/>
        <v>0</v>
      </c>
    </row>
    <row r="153" spans="1:26" x14ac:dyDescent="0.25">
      <c r="A153" t="str">
        <f t="shared" si="4"/>
        <v>00 STATUS - PLAYING</v>
      </c>
      <c r="B153" t="s">
        <v>36</v>
      </c>
      <c r="D153" s="5"/>
      <c r="E153" s="5"/>
      <c r="F153" s="5"/>
      <c r="G153" s="5"/>
      <c r="Z153">
        <f t="shared" si="5"/>
        <v>0</v>
      </c>
    </row>
    <row r="154" spans="1:26" x14ac:dyDescent="0.25">
      <c r="A154" t="str">
        <f t="shared" si="4"/>
        <v>84 REQUEST MORE TEXT FIELDS - SEND DISC INFO</v>
      </c>
      <c r="B154" t="s">
        <v>17</v>
      </c>
      <c r="D154" s="5"/>
      <c r="E154" s="5"/>
      <c r="F154" s="5"/>
      <c r="G154" s="5"/>
      <c r="Z154">
        <f t="shared" si="5"/>
        <v>1</v>
      </c>
    </row>
    <row r="155" spans="1:26" x14ac:dyDescent="0.25">
      <c r="A155" t="str">
        <f t="shared" si="4"/>
        <v>01 MASTER REQUEST - SLAVE POLL</v>
      </c>
      <c r="B155" t="s">
        <v>37</v>
      </c>
      <c r="D155" s="5"/>
      <c r="E155" s="5"/>
      <c r="F155" s="5"/>
      <c r="G155" s="5"/>
      <c r="Z155">
        <f t="shared" si="5"/>
        <v>0</v>
      </c>
    </row>
    <row r="156" spans="1:26" x14ac:dyDescent="0.25">
      <c r="A156" t="str">
        <f t="shared" si="4"/>
        <v>95 MAGAZINE INFO - CD1 YES, CD2 YES, CD3 NO, CD4 NO, CD5 NO, CD6 NO</v>
      </c>
      <c r="B156" t="s">
        <v>38</v>
      </c>
      <c r="D156" s="5"/>
      <c r="E156" s="5"/>
      <c r="F156" s="5"/>
      <c r="G156" s="5"/>
      <c r="Z156">
        <f t="shared" si="5"/>
        <v>0</v>
      </c>
    </row>
    <row r="157" spans="1:26" x14ac:dyDescent="0.25">
      <c r="A157" t="str">
        <f t="shared" si="4"/>
        <v>01 MASTER REQUEST - SLAVE POLL</v>
      </c>
      <c r="B157" t="s">
        <v>37</v>
      </c>
      <c r="D157" s="5"/>
      <c r="E157" s="5"/>
      <c r="F157" s="5"/>
      <c r="G157" s="5"/>
      <c r="Z157">
        <f t="shared" si="5"/>
        <v>1</v>
      </c>
    </row>
    <row r="158" spans="1:26" x14ac:dyDescent="0.25">
      <c r="A158" t="str">
        <f t="shared" si="4"/>
        <v>97 DISC INFO - TRACKS: 77, MINS: 88, SECS: 00, DISC: 1</v>
      </c>
      <c r="B158" t="s">
        <v>22</v>
      </c>
      <c r="D158" s="5"/>
      <c r="E158" s="5"/>
      <c r="F158" s="5"/>
      <c r="G158" s="5"/>
      <c r="Z158">
        <f t="shared" si="5"/>
        <v>0</v>
      </c>
    </row>
    <row r="159" spans="1:26" x14ac:dyDescent="0.25">
      <c r="A159" t="str">
        <f t="shared" si="4"/>
        <v>01 MASTER REQUEST - SLAVE POLL</v>
      </c>
      <c r="B159" t="s">
        <v>37</v>
      </c>
      <c r="D159" s="5"/>
      <c r="E159" s="5"/>
      <c r="F159" s="5"/>
      <c r="G159" s="5"/>
      <c r="Z159">
        <f t="shared" si="5"/>
        <v>1</v>
      </c>
    </row>
    <row r="160" spans="1:26" x14ac:dyDescent="0.25">
      <c r="A160" t="str">
        <f t="shared" si="4"/>
        <v>C0 SEEKING TO - (NO PARITY2???) XCARLINK BUG, ALFA 166 ICS DOESN'T ALLOW 13 BYTE RESPONSES!</v>
      </c>
      <c r="B160" t="s">
        <v>60</v>
      </c>
      <c r="D160" s="5"/>
      <c r="E160" s="5"/>
      <c r="F160" s="5"/>
      <c r="G160" s="5"/>
      <c r="Z160">
        <f t="shared" si="5"/>
        <v>0</v>
      </c>
    </row>
    <row r="161" spans="1:26" x14ac:dyDescent="0.25">
      <c r="A161" t="str">
        <f t="shared" si="4"/>
        <v>01 MASTER REQUEST - SLAVE POLL</v>
      </c>
      <c r="B161" t="s">
        <v>37</v>
      </c>
      <c r="D161" s="5"/>
      <c r="E161" s="5"/>
      <c r="F161" s="5"/>
      <c r="G161" s="5"/>
      <c r="Z161">
        <f t="shared" si="5"/>
        <v>1</v>
      </c>
    </row>
    <row r="162" spans="1:26" x14ac:dyDescent="0.25">
      <c r="A162" t="str">
        <f t="shared" si="4"/>
        <v>97 DISC INFO - TRACKS: 77, MINS: 88, SECS: 00, DISC: 1</v>
      </c>
      <c r="B162" t="s">
        <v>22</v>
      </c>
      <c r="D162" s="5"/>
      <c r="E162" s="5"/>
      <c r="F162" s="5"/>
      <c r="G162" s="5"/>
      <c r="Z162">
        <f t="shared" si="5"/>
        <v>0</v>
      </c>
    </row>
    <row r="163" spans="1:26" x14ac:dyDescent="0.25">
      <c r="A163" t="str">
        <f t="shared" si="4"/>
        <v>01 MASTER REQUEST - SLAVE POLL</v>
      </c>
      <c r="B163" t="s">
        <v>37</v>
      </c>
      <c r="D163" s="5"/>
      <c r="E163" s="5"/>
      <c r="F163" s="5"/>
      <c r="G163" s="5"/>
      <c r="Z163">
        <f t="shared" si="5"/>
        <v>1</v>
      </c>
    </row>
    <row r="164" spans="1:26" x14ac:dyDescent="0.25">
      <c r="A164" t="str">
        <f t="shared" si="4"/>
        <v>D5 DISC IDENTIFIER</v>
      </c>
      <c r="B164" t="s">
        <v>23</v>
      </c>
      <c r="D164" s="5"/>
      <c r="E164" s="5"/>
      <c r="F164" s="5"/>
      <c r="G164" s="5"/>
      <c r="Z164">
        <f t="shared" si="5"/>
        <v>0</v>
      </c>
    </row>
    <row r="165" spans="1:26" x14ac:dyDescent="0.25">
      <c r="A165" t="str">
        <f t="shared" si="4"/>
        <v>01 MASTER REQUEST - SLAVE POLL</v>
      </c>
      <c r="B165" t="s">
        <v>37</v>
      </c>
      <c r="D165" s="5"/>
      <c r="E165" s="5"/>
      <c r="F165" s="5"/>
      <c r="G165" s="5"/>
      <c r="Z165">
        <f t="shared" si="5"/>
        <v>1</v>
      </c>
    </row>
    <row r="166" spans="1:26" x14ac:dyDescent="0.25">
      <c r="A166" t="str">
        <f t="shared" si="4"/>
        <v>90 TIME- TRACK: 01, 00:00, DISC: 1</v>
      </c>
      <c r="B166" t="s">
        <v>61</v>
      </c>
      <c r="D166" s="5"/>
      <c r="E166" s="5"/>
      <c r="F166" s="5"/>
      <c r="G166" s="5"/>
      <c r="Z166">
        <f t="shared" si="5"/>
        <v>0</v>
      </c>
    </row>
    <row r="167" spans="1:26" x14ac:dyDescent="0.25">
      <c r="A167" t="str">
        <f t="shared" si="4"/>
        <v>84 REQUEST MORE TEXT FIELDS - SEND MAGAZINE INFO</v>
      </c>
      <c r="B167" t="s">
        <v>14</v>
      </c>
      <c r="D167" s="5"/>
      <c r="E167" s="5"/>
      <c r="F167" s="5"/>
      <c r="G167" s="5"/>
      <c r="Z167">
        <f t="shared" si="5"/>
        <v>1</v>
      </c>
    </row>
    <row r="168" spans="1:26" x14ac:dyDescent="0.25">
      <c r="A168" t="str">
        <f t="shared" si="4"/>
        <v>01 MASTER REQUEST - TIME POLL</v>
      </c>
      <c r="B168" t="s">
        <v>35</v>
      </c>
      <c r="D168" s="5"/>
      <c r="E168" s="5"/>
      <c r="F168" s="5"/>
      <c r="G168" s="5"/>
      <c r="Z168">
        <f t="shared" si="5"/>
        <v>0</v>
      </c>
    </row>
    <row r="169" spans="1:26" x14ac:dyDescent="0.25">
      <c r="A169" t="str">
        <f t="shared" si="4"/>
        <v>00 STATUS - PLAYING</v>
      </c>
      <c r="B169" t="s">
        <v>36</v>
      </c>
      <c r="D169" s="5"/>
      <c r="E169" s="5"/>
      <c r="F169" s="5"/>
      <c r="G169" s="5"/>
      <c r="Z169">
        <f t="shared" si="5"/>
        <v>0</v>
      </c>
    </row>
    <row r="170" spans="1:26" x14ac:dyDescent="0.25">
      <c r="A170" t="str">
        <f t="shared" si="4"/>
        <v>84 REQUEST MORE TEXT FIELDS - SEND DISC INFO</v>
      </c>
      <c r="B170" t="s">
        <v>17</v>
      </c>
      <c r="D170" s="5"/>
      <c r="E170" s="5"/>
      <c r="F170" s="5"/>
      <c r="G170" s="5"/>
      <c r="Z170">
        <f t="shared" si="5"/>
        <v>1</v>
      </c>
    </row>
    <row r="171" spans="1:26" x14ac:dyDescent="0.25">
      <c r="A171" t="str">
        <f t="shared" si="4"/>
        <v>01 MASTER REQUEST - SLAVE POLL</v>
      </c>
      <c r="B171" t="s">
        <v>37</v>
      </c>
      <c r="D171" s="5"/>
      <c r="E171" s="5"/>
      <c r="F171" s="5"/>
      <c r="G171" s="5"/>
      <c r="Z171">
        <f t="shared" si="5"/>
        <v>0</v>
      </c>
    </row>
    <row r="172" spans="1:26" x14ac:dyDescent="0.25">
      <c r="A172" t="str">
        <f t="shared" si="4"/>
        <v>95 MAGAZINE INFO - CD1 YES, CD2 YES, CD3 NO, CD4 NO, CD5 NO, CD6 NO</v>
      </c>
      <c r="B172" t="s">
        <v>38</v>
      </c>
      <c r="D172" s="5"/>
      <c r="E172" s="5"/>
      <c r="F172" s="5"/>
      <c r="G172" s="5"/>
      <c r="Z172">
        <f t="shared" si="5"/>
        <v>0</v>
      </c>
    </row>
    <row r="173" spans="1:26" x14ac:dyDescent="0.25">
      <c r="A173" t="str">
        <f t="shared" si="4"/>
        <v>01 MASTER REQUEST - SLAVE POLL</v>
      </c>
      <c r="B173" t="s">
        <v>37</v>
      </c>
      <c r="D173" s="5"/>
      <c r="E173" s="5"/>
      <c r="F173" s="5"/>
      <c r="G173" s="5"/>
      <c r="Z173">
        <f t="shared" si="5"/>
        <v>1</v>
      </c>
    </row>
    <row r="174" spans="1:26" x14ac:dyDescent="0.25">
      <c r="A174" t="str">
        <f t="shared" si="4"/>
        <v>97 DISC INFO - TRACKS: 77, MINS: 88, SECS: 00, DISC: 1</v>
      </c>
      <c r="B174" t="s">
        <v>22</v>
      </c>
      <c r="D174" s="5"/>
      <c r="E174" s="5"/>
      <c r="F174" s="5"/>
      <c r="G174" s="5"/>
      <c r="Z174">
        <f t="shared" si="5"/>
        <v>0</v>
      </c>
    </row>
    <row r="175" spans="1:26" x14ac:dyDescent="0.25">
      <c r="A175" t="str">
        <f t="shared" si="4"/>
        <v>01 MASTER REQUEST - SLAVE POLL</v>
      </c>
      <c r="B175" t="s">
        <v>37</v>
      </c>
      <c r="D175" s="5"/>
      <c r="E175" s="5"/>
      <c r="F175" s="5"/>
      <c r="G175" s="5"/>
      <c r="Z175">
        <f t="shared" si="5"/>
        <v>1</v>
      </c>
    </row>
    <row r="176" spans="1:26" x14ac:dyDescent="0.25">
      <c r="A176" t="str">
        <f t="shared" si="4"/>
        <v>90 TIME- TRACK: 01, 00:01, DISC: 1</v>
      </c>
      <c r="B176" t="s">
        <v>62</v>
      </c>
      <c r="D176" s="5"/>
      <c r="E176" s="5"/>
      <c r="F176" s="5"/>
      <c r="G176" s="5"/>
      <c r="Z176">
        <f t="shared" si="5"/>
        <v>0</v>
      </c>
    </row>
    <row r="177" spans="1:26" x14ac:dyDescent="0.25">
      <c r="A177" t="str">
        <f t="shared" si="4"/>
        <v>01 MASTER REQUEST - SLAVE POLL</v>
      </c>
      <c r="B177" t="s">
        <v>37</v>
      </c>
      <c r="D177" s="5"/>
      <c r="E177" s="5"/>
      <c r="F177" s="5"/>
      <c r="G177" s="5"/>
      <c r="Z177">
        <f t="shared" si="5"/>
        <v>1</v>
      </c>
    </row>
    <row r="178" spans="1:26" x14ac:dyDescent="0.25">
      <c r="A178" t="str">
        <f t="shared" si="4"/>
        <v>00 STATUS - PLAYING</v>
      </c>
      <c r="B178" t="s">
        <v>36</v>
      </c>
      <c r="D178" s="5"/>
      <c r="E178" s="5"/>
      <c r="F178" s="5"/>
      <c r="G178" s="5"/>
      <c r="Z178">
        <f t="shared" si="5"/>
        <v>0</v>
      </c>
    </row>
    <row r="179" spans="1:26" x14ac:dyDescent="0.25">
      <c r="A179" t="str">
        <f t="shared" si="4"/>
        <v>84 REQUEST MORE TEXT FIELDS - SEND MAGAZINE INFO</v>
      </c>
      <c r="B179" t="s">
        <v>14</v>
      </c>
      <c r="D179" s="5"/>
      <c r="E179" s="5"/>
      <c r="F179" s="5"/>
      <c r="G179" s="5"/>
      <c r="Z179">
        <f t="shared" si="5"/>
        <v>1</v>
      </c>
    </row>
    <row r="180" spans="1:26" x14ac:dyDescent="0.25">
      <c r="A180" t="str">
        <f t="shared" si="4"/>
        <v>01 MASTER REQUEST - TIME POLL</v>
      </c>
      <c r="B180" t="s">
        <v>35</v>
      </c>
      <c r="D180" s="5"/>
      <c r="E180" s="5"/>
      <c r="F180" s="5"/>
      <c r="G180" s="5"/>
      <c r="Z180">
        <f t="shared" si="5"/>
        <v>0</v>
      </c>
    </row>
    <row r="181" spans="1:26" x14ac:dyDescent="0.25">
      <c r="A181" t="str">
        <f t="shared" si="4"/>
        <v>00 STATUS - PLAYING</v>
      </c>
      <c r="B181" t="s">
        <v>36</v>
      </c>
      <c r="D181" s="5"/>
      <c r="E181" s="5"/>
      <c r="F181" s="5"/>
      <c r="G181" s="5"/>
      <c r="Z181">
        <f t="shared" si="5"/>
        <v>0</v>
      </c>
    </row>
    <row r="182" spans="1:26" x14ac:dyDescent="0.25">
      <c r="A182" t="str">
        <f t="shared" si="4"/>
        <v>84 REQUEST MORE TEXT FIELDS - SEND DISC INFO</v>
      </c>
      <c r="B182" t="s">
        <v>17</v>
      </c>
      <c r="D182" s="5"/>
      <c r="E182" s="5"/>
      <c r="F182" s="5"/>
      <c r="G182" s="5"/>
      <c r="Z182">
        <f t="shared" si="5"/>
        <v>1</v>
      </c>
    </row>
    <row r="183" spans="1:26" x14ac:dyDescent="0.25">
      <c r="A183" t="str">
        <f t="shared" si="4"/>
        <v>01 MASTER REQUEST - SLAVE POLL</v>
      </c>
      <c r="B183" t="s">
        <v>37</v>
      </c>
      <c r="D183" s="5"/>
      <c r="E183" s="5"/>
      <c r="F183" s="5"/>
      <c r="G183" s="5"/>
      <c r="Z183">
        <f t="shared" si="5"/>
        <v>0</v>
      </c>
    </row>
    <row r="184" spans="1:26" x14ac:dyDescent="0.25">
      <c r="A184" t="str">
        <f t="shared" si="4"/>
        <v>95 MAGAZINE INFO - CD1 YES, CD2 YES, CD3 NO, CD4 NO, CD5 NO, CD6 NO</v>
      </c>
      <c r="B184" t="s">
        <v>38</v>
      </c>
      <c r="D184" s="5"/>
      <c r="E184" s="5"/>
      <c r="F184" s="5"/>
      <c r="G184" s="5"/>
      <c r="Z184">
        <f t="shared" si="5"/>
        <v>0</v>
      </c>
    </row>
    <row r="185" spans="1:26" x14ac:dyDescent="0.25">
      <c r="A185" t="str">
        <f t="shared" si="4"/>
        <v>01 MASTER REQUEST - SLAVE POLL</v>
      </c>
      <c r="B185" t="s">
        <v>37</v>
      </c>
      <c r="D185" s="5"/>
      <c r="E185" s="5"/>
      <c r="F185" s="5"/>
      <c r="G185" s="5"/>
      <c r="Z185">
        <f t="shared" si="5"/>
        <v>1</v>
      </c>
    </row>
    <row r="186" spans="1:26" x14ac:dyDescent="0.25">
      <c r="A186" t="str">
        <f t="shared" si="4"/>
        <v>97 DISC INFO - TRACKS: 77, MINS: 88, SECS: 00, DISC: 1</v>
      </c>
      <c r="B186" t="s">
        <v>22</v>
      </c>
      <c r="D186" s="5"/>
      <c r="E186" s="5"/>
      <c r="F186" s="5"/>
      <c r="G186" s="5"/>
      <c r="Z186">
        <f t="shared" si="5"/>
        <v>0</v>
      </c>
    </row>
    <row r="187" spans="1:26" x14ac:dyDescent="0.25">
      <c r="A187" t="str">
        <f t="shared" si="4"/>
        <v>01 MASTER REQUEST - SLAVE POLL</v>
      </c>
      <c r="B187" t="s">
        <v>37</v>
      </c>
      <c r="D187" s="5"/>
      <c r="E187" s="5"/>
      <c r="F187" s="5"/>
      <c r="G187" s="5"/>
      <c r="Z187">
        <f t="shared" si="5"/>
        <v>1</v>
      </c>
    </row>
    <row r="188" spans="1:26" x14ac:dyDescent="0.25">
      <c r="A188" t="str">
        <f t="shared" si="4"/>
        <v>90 TIME- TRACK: 01, 00:02, DISC: 1</v>
      </c>
      <c r="B188" t="s">
        <v>63</v>
      </c>
      <c r="D188" s="5"/>
      <c r="E188" s="5"/>
      <c r="F188" s="5"/>
      <c r="G188" s="5"/>
      <c r="Z188">
        <f t="shared" si="5"/>
        <v>0</v>
      </c>
    </row>
    <row r="189" spans="1:26" x14ac:dyDescent="0.25">
      <c r="A189" t="str">
        <f t="shared" si="4"/>
        <v>84 REQUEST MORE TEXT FIELDS - SEND MAGAZINE INFO</v>
      </c>
      <c r="B189" t="s">
        <v>14</v>
      </c>
      <c r="D189" s="5"/>
      <c r="E189" s="5"/>
      <c r="F189" s="5"/>
      <c r="G189" s="5"/>
      <c r="Z189">
        <f t="shared" si="5"/>
        <v>1</v>
      </c>
    </row>
    <row r="190" spans="1:26" x14ac:dyDescent="0.25">
      <c r="A190" t="str">
        <f t="shared" si="4"/>
        <v>01 MASTER REQUEST - TIME POLL</v>
      </c>
      <c r="B190" t="s">
        <v>35</v>
      </c>
      <c r="D190" s="5"/>
      <c r="E190" s="5"/>
      <c r="F190" s="5"/>
      <c r="G190" s="5"/>
      <c r="Z190">
        <f t="shared" si="5"/>
        <v>0</v>
      </c>
    </row>
    <row r="191" spans="1:26" x14ac:dyDescent="0.25">
      <c r="A191" t="str">
        <f t="shared" si="4"/>
        <v>00 STATUS - PLAYING</v>
      </c>
      <c r="B191" t="s">
        <v>36</v>
      </c>
      <c r="D191" s="5"/>
      <c r="E191" s="5"/>
      <c r="F191" s="5"/>
      <c r="G191" s="5"/>
      <c r="Z191">
        <f t="shared" si="5"/>
        <v>0</v>
      </c>
    </row>
    <row r="192" spans="1:26" x14ac:dyDescent="0.25">
      <c r="A192" t="str">
        <f t="shared" si="4"/>
        <v>84 REQUEST MORE TEXT FIELDS - SEND DISC INFO</v>
      </c>
      <c r="B192" t="s">
        <v>17</v>
      </c>
      <c r="D192" s="5"/>
      <c r="E192" s="5"/>
      <c r="F192" s="5"/>
      <c r="G192" s="5"/>
      <c r="Z192">
        <f t="shared" si="5"/>
        <v>1</v>
      </c>
    </row>
    <row r="193" spans="1:26" x14ac:dyDescent="0.25">
      <c r="A193" t="str">
        <f t="shared" si="4"/>
        <v>01 MASTER REQUEST - SLAVE POLL</v>
      </c>
      <c r="B193" t="s">
        <v>37</v>
      </c>
      <c r="D193" s="5"/>
      <c r="E193" s="5"/>
      <c r="F193" s="5"/>
      <c r="G193" s="5"/>
      <c r="Z193">
        <f t="shared" si="5"/>
        <v>0</v>
      </c>
    </row>
    <row r="194" spans="1:26" x14ac:dyDescent="0.25">
      <c r="A194" t="str">
        <f t="shared" si="4"/>
        <v>95 MAGAZINE INFO - CD1 YES, CD2 YES, CD3 NO, CD4 NO, CD5 NO, CD6 NO</v>
      </c>
      <c r="B194" t="s">
        <v>38</v>
      </c>
      <c r="D194" s="5"/>
      <c r="E194" s="5"/>
      <c r="F194" s="5"/>
      <c r="G194" s="5"/>
      <c r="Z194">
        <f t="shared" si="5"/>
        <v>0</v>
      </c>
    </row>
    <row r="195" spans="1:26" x14ac:dyDescent="0.25">
      <c r="A195" t="str">
        <f t="shared" ref="A195:A258" si="6">ParseUnilink(B195)</f>
        <v>01 MASTER REQUEST - SLAVE POLL</v>
      </c>
      <c r="B195" t="s">
        <v>37</v>
      </c>
      <c r="D195" s="5"/>
      <c r="E195" s="5"/>
      <c r="F195" s="5"/>
      <c r="G195" s="5"/>
      <c r="Z195">
        <f t="shared" ref="Z195:Z258" si="7">IF(    ISNUMBER(SEARCH("10 30",B194,1))  +  ISNUMBER(SEARCH("10 31",B194,1))  +  ISNUMBER(SEARCH("70 30",B194,1))  +  ISNUMBER(SEARCH("70 31",B194,1))  +  ISNUMBER(SEARCH("77 30",B194,1))  +  ISNUMBER(SEARCH("77 31",B194,1)),1,0)</f>
        <v>1</v>
      </c>
    </row>
    <row r="196" spans="1:26" x14ac:dyDescent="0.25">
      <c r="A196" t="str">
        <f t="shared" si="6"/>
        <v>97 DISC INFO - TRACKS: 77, MINS: 88, SECS: 00, DISC: 1</v>
      </c>
      <c r="B196" t="s">
        <v>22</v>
      </c>
      <c r="D196" s="5"/>
      <c r="E196" s="5"/>
      <c r="F196" s="5"/>
      <c r="G196" s="5"/>
      <c r="Z196">
        <f t="shared" si="7"/>
        <v>0</v>
      </c>
    </row>
    <row r="197" spans="1:26" x14ac:dyDescent="0.25">
      <c r="A197" t="str">
        <f t="shared" si="6"/>
        <v>01 MASTER REQUEST - SLAVE POLL</v>
      </c>
      <c r="B197" t="s">
        <v>37</v>
      </c>
      <c r="D197" s="5"/>
      <c r="E197" s="5"/>
      <c r="F197" s="5"/>
      <c r="G197" s="5"/>
      <c r="Z197">
        <f t="shared" si="7"/>
        <v>1</v>
      </c>
    </row>
    <row r="198" spans="1:26" x14ac:dyDescent="0.25">
      <c r="A198" t="str">
        <f t="shared" si="6"/>
        <v>90 TIME- TRACK: 01, 00:03, DISC: 1</v>
      </c>
      <c r="B198" t="s">
        <v>64</v>
      </c>
      <c r="D198" s="5"/>
      <c r="E198" s="5"/>
      <c r="F198" s="5"/>
      <c r="G198" s="5"/>
      <c r="Z198">
        <f t="shared" si="7"/>
        <v>0</v>
      </c>
    </row>
    <row r="199" spans="1:26" x14ac:dyDescent="0.25">
      <c r="A199" t="str">
        <f t="shared" si="6"/>
        <v>01 MASTER REQUEST - SLAVE POLL</v>
      </c>
      <c r="B199" t="s">
        <v>37</v>
      </c>
      <c r="D199" s="5"/>
      <c r="E199" s="5"/>
      <c r="F199" s="5"/>
      <c r="G199" s="5"/>
      <c r="Z199">
        <f t="shared" si="7"/>
        <v>1</v>
      </c>
    </row>
    <row r="200" spans="1:26" x14ac:dyDescent="0.25">
      <c r="A200" t="str">
        <f t="shared" si="6"/>
        <v>00 STATUS - PLAYING</v>
      </c>
      <c r="B200" t="s">
        <v>36</v>
      </c>
      <c r="D200" s="5"/>
      <c r="E200" s="5"/>
      <c r="F200" s="5"/>
      <c r="G200" s="5"/>
      <c r="Z200">
        <f t="shared" si="7"/>
        <v>0</v>
      </c>
    </row>
    <row r="201" spans="1:26" x14ac:dyDescent="0.25">
      <c r="A201" t="str">
        <f t="shared" si="6"/>
        <v>01 MASTER REQUEST - SLAVE POLL</v>
      </c>
      <c r="B201" t="s">
        <v>37</v>
      </c>
      <c r="D201" s="5"/>
      <c r="E201" s="5"/>
      <c r="F201" s="5"/>
      <c r="G201" s="5"/>
      <c r="Z201">
        <f t="shared" si="7"/>
        <v>1</v>
      </c>
    </row>
    <row r="202" spans="1:26" x14ac:dyDescent="0.25">
      <c r="A202" t="str">
        <f t="shared" si="6"/>
        <v>90 TIME- TRACK: 01, 00:04, DISC: 1</v>
      </c>
      <c r="B202" t="s">
        <v>65</v>
      </c>
      <c r="D202" s="5"/>
      <c r="E202" s="5"/>
      <c r="F202" s="5"/>
      <c r="G202" s="5"/>
      <c r="Z202">
        <f t="shared" si="7"/>
        <v>0</v>
      </c>
    </row>
    <row r="203" spans="1:26" x14ac:dyDescent="0.25">
      <c r="A203" t="str">
        <f t="shared" si="6"/>
        <v>01 MASTER REQUEST - SLAVE POLL</v>
      </c>
      <c r="B203" t="s">
        <v>37</v>
      </c>
      <c r="D203" s="5"/>
      <c r="E203" s="5"/>
      <c r="F203" s="5"/>
      <c r="G203" s="5"/>
      <c r="Z203">
        <f t="shared" si="7"/>
        <v>1</v>
      </c>
    </row>
    <row r="204" spans="1:26" x14ac:dyDescent="0.25">
      <c r="A204" t="str">
        <f t="shared" si="6"/>
        <v>00 STATUS - PLAYING</v>
      </c>
      <c r="B204" t="s">
        <v>36</v>
      </c>
      <c r="D204" s="5"/>
      <c r="E204" s="5"/>
      <c r="F204" s="5"/>
      <c r="G204" s="5"/>
      <c r="Z204">
        <f t="shared" si="7"/>
        <v>0</v>
      </c>
    </row>
    <row r="205" spans="1:26" x14ac:dyDescent="0.25">
      <c r="A205" t="str">
        <f t="shared" si="6"/>
        <v>84 REQUEST MORE TEXT FIELDS - SEND MAGAZINE INFO</v>
      </c>
      <c r="B205" t="s">
        <v>14</v>
      </c>
      <c r="D205" s="5"/>
      <c r="E205" s="5"/>
      <c r="F205" s="5"/>
      <c r="G205" s="5"/>
      <c r="Z205">
        <f t="shared" si="7"/>
        <v>1</v>
      </c>
    </row>
    <row r="206" spans="1:26" x14ac:dyDescent="0.25">
      <c r="A206" t="str">
        <f t="shared" si="6"/>
        <v>01 MASTER REQUEST - TIME POLL</v>
      </c>
      <c r="B206" t="s">
        <v>35</v>
      </c>
      <c r="D206" s="5"/>
      <c r="E206" s="5"/>
      <c r="F206" s="5"/>
      <c r="G206" s="5"/>
      <c r="Z206">
        <f t="shared" si="7"/>
        <v>0</v>
      </c>
    </row>
    <row r="207" spans="1:26" x14ac:dyDescent="0.25">
      <c r="A207" t="str">
        <f t="shared" si="6"/>
        <v>00 STATUS - PLAYING</v>
      </c>
      <c r="B207" t="s">
        <v>36</v>
      </c>
      <c r="D207" s="5"/>
      <c r="E207" s="5"/>
      <c r="F207" s="5"/>
      <c r="G207" s="5"/>
      <c r="Z207">
        <f t="shared" si="7"/>
        <v>0</v>
      </c>
    </row>
    <row r="208" spans="1:26" x14ac:dyDescent="0.25">
      <c r="A208" t="str">
        <f t="shared" si="6"/>
        <v>84 REQUEST MORE TEXT FIELDS - SEND DISC INFO</v>
      </c>
      <c r="B208" t="s">
        <v>17</v>
      </c>
      <c r="D208" s="5"/>
      <c r="E208" s="5"/>
      <c r="F208" s="5"/>
      <c r="G208" s="5"/>
      <c r="Z208">
        <f t="shared" si="7"/>
        <v>1</v>
      </c>
    </row>
    <row r="209" spans="1:26" x14ac:dyDescent="0.25">
      <c r="A209" t="str">
        <f t="shared" si="6"/>
        <v>B0 CHANGE TO DISC 2, TRACK 00</v>
      </c>
      <c r="B209" t="s">
        <v>66</v>
      </c>
      <c r="D209" s="5"/>
      <c r="E209" s="5"/>
      <c r="F209" s="5"/>
      <c r="G209" s="5"/>
      <c r="Z209">
        <f t="shared" si="7"/>
        <v>0</v>
      </c>
    </row>
    <row r="210" spans="1:26" x14ac:dyDescent="0.25">
      <c r="A210" t="str">
        <f t="shared" si="6"/>
        <v>01 MASTER REQUEST - SLAVE POLL</v>
      </c>
      <c r="B210" t="s">
        <v>37</v>
      </c>
      <c r="D210" s="5"/>
      <c r="E210" s="5"/>
      <c r="F210" s="5"/>
      <c r="G210" s="5"/>
      <c r="Z210">
        <f t="shared" si="7"/>
        <v>0</v>
      </c>
    </row>
    <row r="211" spans="1:26" x14ac:dyDescent="0.25">
      <c r="A211" t="str">
        <f t="shared" si="6"/>
        <v>C0 SEEKING TO - (NO PARITY2???) XCARLINK BUG, ALFA 166 ICS DOESN'T ALLOW 13 BYTE RESPONSES!</v>
      </c>
      <c r="B211" t="s">
        <v>67</v>
      </c>
      <c r="D211" s="5"/>
      <c r="E211" s="5"/>
      <c r="F211" s="5"/>
      <c r="G211" s="5"/>
      <c r="Z211">
        <f t="shared" si="7"/>
        <v>0</v>
      </c>
    </row>
    <row r="212" spans="1:26" x14ac:dyDescent="0.25">
      <c r="A212" t="str">
        <f t="shared" si="6"/>
        <v>01 MASTER REQUEST - SLAVE POLL</v>
      </c>
      <c r="B212" t="s">
        <v>37</v>
      </c>
      <c r="D212" s="5"/>
      <c r="E212" s="5"/>
      <c r="F212" s="5"/>
      <c r="G212" s="5"/>
      <c r="Z212">
        <f t="shared" si="7"/>
        <v>1</v>
      </c>
    </row>
    <row r="213" spans="1:26" x14ac:dyDescent="0.25">
      <c r="A213" t="str">
        <f t="shared" si="6"/>
        <v>00 STATUS - PLAYING</v>
      </c>
      <c r="B213" t="s">
        <v>36</v>
      </c>
      <c r="D213" s="5"/>
      <c r="E213" s="5"/>
      <c r="F213" s="5"/>
      <c r="G213" s="5"/>
      <c r="Z213">
        <f t="shared" si="7"/>
        <v>0</v>
      </c>
    </row>
    <row r="214" spans="1:26" x14ac:dyDescent="0.25">
      <c r="A214" t="str">
        <f t="shared" si="6"/>
        <v>84 REQUEST MORE TEXT FIELDS - SEND MAGAZINE INFO</v>
      </c>
      <c r="B214" t="s">
        <v>14</v>
      </c>
      <c r="D214" s="5"/>
      <c r="E214" s="5"/>
      <c r="F214" s="5"/>
      <c r="G214" s="5"/>
      <c r="Z214">
        <f t="shared" si="7"/>
        <v>1</v>
      </c>
    </row>
    <row r="215" spans="1:26" x14ac:dyDescent="0.25">
      <c r="A215" t="str">
        <f t="shared" si="6"/>
        <v>01 MASTER REQUEST - TIME POLL</v>
      </c>
      <c r="B215" t="s">
        <v>35</v>
      </c>
      <c r="D215" s="5"/>
      <c r="E215" s="5"/>
      <c r="F215" s="5"/>
      <c r="G215" s="5"/>
      <c r="Z215">
        <f t="shared" si="7"/>
        <v>0</v>
      </c>
    </row>
    <row r="216" spans="1:26" x14ac:dyDescent="0.25">
      <c r="A216" t="str">
        <f t="shared" si="6"/>
        <v>00 STATUS - PLAYING</v>
      </c>
      <c r="B216" t="s">
        <v>36</v>
      </c>
      <c r="D216" s="5"/>
      <c r="E216" s="5"/>
      <c r="F216" s="5"/>
      <c r="G216" s="5"/>
      <c r="Z216">
        <f t="shared" si="7"/>
        <v>0</v>
      </c>
    </row>
    <row r="217" spans="1:26" x14ac:dyDescent="0.25">
      <c r="A217" t="str">
        <f t="shared" si="6"/>
        <v>84 REQUEST MORE TEXT FIELDS - SEND DISC INFO</v>
      </c>
      <c r="B217" t="s">
        <v>17</v>
      </c>
      <c r="D217" s="5"/>
      <c r="E217" s="5"/>
      <c r="F217" s="5"/>
      <c r="G217" s="5"/>
      <c r="Z217">
        <f t="shared" si="7"/>
        <v>1</v>
      </c>
    </row>
    <row r="218" spans="1:26" x14ac:dyDescent="0.25">
      <c r="A218" t="str">
        <f t="shared" si="6"/>
        <v>01 MASTER REQUEST - SLAVE POLL</v>
      </c>
      <c r="B218" t="s">
        <v>37</v>
      </c>
      <c r="D218" s="5"/>
      <c r="E218" s="5"/>
      <c r="F218" s="5"/>
      <c r="G218" s="5"/>
      <c r="Z218">
        <f t="shared" si="7"/>
        <v>0</v>
      </c>
    </row>
    <row r="219" spans="1:26" x14ac:dyDescent="0.25">
      <c r="A219" t="str">
        <f t="shared" si="6"/>
        <v>95 MAGAZINE INFO - CD1 YES, CD2 YES, CD3 NO, CD4 NO, CD5 NO, CD6 NO</v>
      </c>
      <c r="B219" t="s">
        <v>38</v>
      </c>
      <c r="D219" s="5"/>
      <c r="E219" s="5"/>
      <c r="F219" s="5"/>
      <c r="G219" s="5"/>
      <c r="Z219">
        <f t="shared" si="7"/>
        <v>0</v>
      </c>
    </row>
    <row r="220" spans="1:26" x14ac:dyDescent="0.25">
      <c r="A220" t="str">
        <f t="shared" si="6"/>
        <v>01 MASTER REQUEST - SLAVE POLL</v>
      </c>
      <c r="B220" t="s">
        <v>37</v>
      </c>
      <c r="D220" s="5"/>
      <c r="E220" s="5"/>
      <c r="F220" s="5"/>
      <c r="G220" s="5"/>
      <c r="Z220">
        <f t="shared" si="7"/>
        <v>1</v>
      </c>
    </row>
    <row r="221" spans="1:26" x14ac:dyDescent="0.25">
      <c r="A221" t="str">
        <f t="shared" si="6"/>
        <v>97 DISC INFO - TRACKS: 69, MINS: 88, SECS: 00, DISC: 2</v>
      </c>
      <c r="B221" t="s">
        <v>39</v>
      </c>
      <c r="D221" s="5"/>
      <c r="E221" s="5"/>
      <c r="F221" s="5"/>
      <c r="G221" s="5"/>
      <c r="Z221">
        <f t="shared" si="7"/>
        <v>0</v>
      </c>
    </row>
    <row r="222" spans="1:26" x14ac:dyDescent="0.25">
      <c r="A222" t="str">
        <f t="shared" si="6"/>
        <v>01 MASTER REQUEST - SLAVE POLL</v>
      </c>
      <c r="B222" t="s">
        <v>37</v>
      </c>
      <c r="D222" s="5"/>
      <c r="E222" s="5"/>
      <c r="F222" s="5"/>
      <c r="G222" s="5"/>
      <c r="Z222">
        <f t="shared" si="7"/>
        <v>1</v>
      </c>
    </row>
    <row r="223" spans="1:26" x14ac:dyDescent="0.25">
      <c r="A223" t="str">
        <f t="shared" si="6"/>
        <v>C0 SEEKING TO - (NO PARITY2???) XCARLINK BUG, ALFA 166 ICS DOESN'T ALLOW 13 BYTE RESPONSES!</v>
      </c>
      <c r="B223" t="s">
        <v>68</v>
      </c>
      <c r="D223" s="5"/>
      <c r="E223" s="5"/>
      <c r="F223" s="5"/>
      <c r="G223" s="5"/>
      <c r="Z223">
        <f t="shared" si="7"/>
        <v>0</v>
      </c>
    </row>
    <row r="224" spans="1:26" x14ac:dyDescent="0.25">
      <c r="A224" t="str">
        <f t="shared" si="6"/>
        <v>01 MASTER REQUEST - SLAVE POLL</v>
      </c>
      <c r="B224" t="s">
        <v>37</v>
      </c>
      <c r="D224" s="5"/>
      <c r="E224" s="5"/>
      <c r="F224" s="5"/>
      <c r="G224" s="5"/>
      <c r="Z224">
        <f t="shared" si="7"/>
        <v>1</v>
      </c>
    </row>
    <row r="225" spans="1:26" x14ac:dyDescent="0.25">
      <c r="A225" t="str">
        <f t="shared" si="6"/>
        <v>97 DISC INFO - TRACKS: 69, MINS: 88, SECS: 00, DISC: 2</v>
      </c>
      <c r="B225" t="s">
        <v>39</v>
      </c>
      <c r="D225" s="5"/>
      <c r="E225" s="5"/>
      <c r="F225" s="5"/>
      <c r="G225" s="5"/>
      <c r="Z225">
        <f t="shared" si="7"/>
        <v>0</v>
      </c>
    </row>
    <row r="226" spans="1:26" x14ac:dyDescent="0.25">
      <c r="A226" t="str">
        <f t="shared" si="6"/>
        <v>01 MASTER REQUEST - SLAVE POLL</v>
      </c>
      <c r="B226" t="s">
        <v>37</v>
      </c>
      <c r="D226" s="5"/>
      <c r="E226" s="5"/>
      <c r="F226" s="5"/>
      <c r="G226" s="5"/>
      <c r="Z226">
        <f t="shared" si="7"/>
        <v>1</v>
      </c>
    </row>
    <row r="227" spans="1:26" x14ac:dyDescent="0.25">
      <c r="A227" t="str">
        <f t="shared" si="6"/>
        <v>D5 DISC IDENTIFIER</v>
      </c>
      <c r="B227" t="s">
        <v>48</v>
      </c>
      <c r="D227" s="5"/>
      <c r="E227" s="5"/>
      <c r="F227" s="5"/>
      <c r="G227" s="5"/>
      <c r="Z227">
        <f t="shared" si="7"/>
        <v>0</v>
      </c>
    </row>
    <row r="228" spans="1:26" x14ac:dyDescent="0.25">
      <c r="A228" t="str">
        <f t="shared" si="6"/>
        <v>01 MASTER REQUEST - SLAVE POLL</v>
      </c>
      <c r="B228" t="s">
        <v>37</v>
      </c>
      <c r="D228" s="5"/>
      <c r="E228" s="5"/>
      <c r="F228" s="5"/>
      <c r="G228" s="5"/>
      <c r="Z228">
        <f t="shared" si="7"/>
        <v>1</v>
      </c>
    </row>
    <row r="229" spans="1:26" x14ac:dyDescent="0.25">
      <c r="A229" t="str">
        <f t="shared" si="6"/>
        <v>90 TIME- TRACK: 01, 00:00, DISC: 2</v>
      </c>
      <c r="B229" t="s">
        <v>69</v>
      </c>
      <c r="D229" s="5"/>
      <c r="E229" s="5"/>
      <c r="F229" s="5"/>
      <c r="G229" s="5"/>
      <c r="Z229">
        <f t="shared" si="7"/>
        <v>0</v>
      </c>
    </row>
    <row r="230" spans="1:26" x14ac:dyDescent="0.25">
      <c r="A230" t="str">
        <f t="shared" si="6"/>
        <v>01 MASTER REQUEST - SLAVE POLL</v>
      </c>
      <c r="B230" t="s">
        <v>37</v>
      </c>
      <c r="D230" s="5"/>
      <c r="E230" s="5"/>
      <c r="F230" s="5"/>
      <c r="G230" s="5"/>
      <c r="Z230">
        <f t="shared" si="7"/>
        <v>1</v>
      </c>
    </row>
    <row r="231" spans="1:26" x14ac:dyDescent="0.25">
      <c r="A231" t="str">
        <f t="shared" si="6"/>
        <v>00 STATUS - PLAYING</v>
      </c>
      <c r="B231" t="s">
        <v>36</v>
      </c>
      <c r="D231" s="5"/>
      <c r="E231" s="5"/>
      <c r="F231" s="5"/>
      <c r="G231" s="5"/>
      <c r="Z231">
        <f t="shared" si="7"/>
        <v>0</v>
      </c>
    </row>
    <row r="232" spans="1:26" x14ac:dyDescent="0.25">
      <c r="A232" t="str">
        <f t="shared" si="6"/>
        <v>84 REQUEST MORE TEXT FIELDS - SEND MAGAZINE INFO</v>
      </c>
      <c r="B232" t="s">
        <v>14</v>
      </c>
      <c r="D232" s="5"/>
      <c r="E232" s="5"/>
      <c r="F232" s="5"/>
      <c r="G232" s="5"/>
      <c r="Z232">
        <f t="shared" si="7"/>
        <v>1</v>
      </c>
    </row>
    <row r="233" spans="1:26" x14ac:dyDescent="0.25">
      <c r="A233" t="str">
        <f t="shared" si="6"/>
        <v>01 MASTER REQUEST - TIME POLL</v>
      </c>
      <c r="B233" t="s">
        <v>35</v>
      </c>
      <c r="D233" s="5"/>
      <c r="E233" s="5"/>
      <c r="F233" s="5"/>
      <c r="G233" s="5"/>
      <c r="Z233">
        <f t="shared" si="7"/>
        <v>0</v>
      </c>
    </row>
    <row r="234" spans="1:26" x14ac:dyDescent="0.25">
      <c r="A234" t="str">
        <f t="shared" si="6"/>
        <v>00 STATUS - PLAYING</v>
      </c>
      <c r="B234" t="s">
        <v>36</v>
      </c>
      <c r="D234" s="5"/>
      <c r="E234" s="5"/>
      <c r="F234" s="5"/>
      <c r="G234" s="5"/>
      <c r="Z234">
        <f t="shared" si="7"/>
        <v>0</v>
      </c>
    </row>
    <row r="235" spans="1:26" x14ac:dyDescent="0.25">
      <c r="A235" t="str">
        <f t="shared" si="6"/>
        <v>84 REQUEST MORE TEXT FIELDS - SEND DISC INFO</v>
      </c>
      <c r="B235" t="s">
        <v>17</v>
      </c>
      <c r="D235" s="5"/>
      <c r="E235" s="5"/>
      <c r="F235" s="5"/>
      <c r="G235" s="5"/>
      <c r="Z235">
        <f t="shared" si="7"/>
        <v>1</v>
      </c>
    </row>
    <row r="236" spans="1:26" x14ac:dyDescent="0.25">
      <c r="A236" t="str">
        <f t="shared" si="6"/>
        <v>01 MASTER REQUEST - SLAVE POLL</v>
      </c>
      <c r="B236" t="s">
        <v>37</v>
      </c>
      <c r="D236" s="5"/>
      <c r="E236" s="5"/>
      <c r="F236" s="5"/>
      <c r="G236" s="5"/>
      <c r="Z236">
        <f t="shared" si="7"/>
        <v>0</v>
      </c>
    </row>
    <row r="237" spans="1:26" x14ac:dyDescent="0.25">
      <c r="A237" t="str">
        <f t="shared" si="6"/>
        <v>95 MAGAZINE INFO - CD1 YES, CD2 YES, CD3 NO, CD4 NO, CD5 NO, CD6 NO</v>
      </c>
      <c r="B237" t="s">
        <v>38</v>
      </c>
      <c r="D237" s="5"/>
      <c r="E237" s="5"/>
      <c r="F237" s="5"/>
      <c r="G237" s="5"/>
      <c r="Z237">
        <f t="shared" si="7"/>
        <v>0</v>
      </c>
    </row>
    <row r="238" spans="1:26" x14ac:dyDescent="0.25">
      <c r="A238" t="str">
        <f t="shared" si="6"/>
        <v>01 MASTER REQUEST - SLAVE POLL</v>
      </c>
      <c r="B238" t="s">
        <v>37</v>
      </c>
      <c r="D238" s="5"/>
      <c r="E238" s="5"/>
      <c r="F238" s="5"/>
      <c r="G238" s="5"/>
      <c r="Z238">
        <f t="shared" si="7"/>
        <v>1</v>
      </c>
    </row>
    <row r="239" spans="1:26" x14ac:dyDescent="0.25">
      <c r="A239" t="str">
        <f t="shared" si="6"/>
        <v>97 DISC INFO - TRACKS: 69, MINS: 88, SECS: 00, DISC: 2</v>
      </c>
      <c r="B239" t="s">
        <v>39</v>
      </c>
      <c r="D239" s="5"/>
      <c r="E239" s="5"/>
      <c r="F239" s="5"/>
      <c r="G239" s="5"/>
      <c r="Z239">
        <f t="shared" si="7"/>
        <v>0</v>
      </c>
    </row>
    <row r="240" spans="1:26" x14ac:dyDescent="0.25">
      <c r="A240" t="str">
        <f t="shared" si="6"/>
        <v>01 MASTER REQUEST - SLAVE POLL</v>
      </c>
      <c r="B240" t="s">
        <v>37</v>
      </c>
      <c r="D240" s="5"/>
      <c r="E240" s="5"/>
      <c r="F240" s="5"/>
      <c r="G240" s="5"/>
      <c r="Z240">
        <f t="shared" si="7"/>
        <v>1</v>
      </c>
    </row>
    <row r="241" spans="1:26" x14ac:dyDescent="0.25">
      <c r="A241" t="str">
        <f t="shared" si="6"/>
        <v>90 TIME- TRACK: 01, 00:01, DISC: 2</v>
      </c>
      <c r="B241" t="s">
        <v>70</v>
      </c>
      <c r="D241" s="5"/>
      <c r="E241" s="5"/>
      <c r="F241" s="5"/>
      <c r="G241" s="5"/>
      <c r="Z241">
        <f t="shared" si="7"/>
        <v>0</v>
      </c>
    </row>
    <row r="242" spans="1:26" x14ac:dyDescent="0.25">
      <c r="A242" t="str">
        <f t="shared" si="6"/>
        <v>01 MASTER REQUEST - SLAVE POLL</v>
      </c>
      <c r="B242" t="s">
        <v>37</v>
      </c>
      <c r="D242" s="5"/>
      <c r="E242" s="5"/>
      <c r="F242" s="5"/>
      <c r="G242" s="5"/>
      <c r="Z242">
        <f t="shared" si="7"/>
        <v>1</v>
      </c>
    </row>
    <row r="243" spans="1:26" x14ac:dyDescent="0.25">
      <c r="A243" t="str">
        <f t="shared" si="6"/>
        <v>00 STATUS - PLAYING</v>
      </c>
      <c r="B243" t="s">
        <v>36</v>
      </c>
      <c r="D243" s="5"/>
      <c r="E243" s="5"/>
      <c r="F243" s="5"/>
      <c r="G243" s="5"/>
      <c r="Z243">
        <f t="shared" si="7"/>
        <v>0</v>
      </c>
    </row>
    <row r="244" spans="1:26" x14ac:dyDescent="0.25">
      <c r="A244" t="str">
        <f t="shared" si="6"/>
        <v>84 REQUEST MORE TEXT FIELDS - SEND MAGAZINE INFO</v>
      </c>
      <c r="B244" t="s">
        <v>14</v>
      </c>
      <c r="D244" s="5"/>
      <c r="E244" s="5"/>
      <c r="F244" s="5"/>
      <c r="G244" s="5"/>
      <c r="Z244">
        <f t="shared" si="7"/>
        <v>1</v>
      </c>
    </row>
    <row r="245" spans="1:26" x14ac:dyDescent="0.25">
      <c r="A245" t="str">
        <f t="shared" si="6"/>
        <v>01 MASTER REQUEST - TIME POLL</v>
      </c>
      <c r="B245" t="s">
        <v>35</v>
      </c>
      <c r="D245" s="5"/>
      <c r="E245" s="5"/>
      <c r="F245" s="5"/>
      <c r="G245" s="5"/>
      <c r="Z245">
        <f t="shared" si="7"/>
        <v>0</v>
      </c>
    </row>
    <row r="246" spans="1:26" x14ac:dyDescent="0.25">
      <c r="A246" t="str">
        <f t="shared" si="6"/>
        <v>00 STATUS - PLAYING</v>
      </c>
      <c r="B246" t="s">
        <v>36</v>
      </c>
      <c r="D246" s="5"/>
      <c r="E246" s="5"/>
      <c r="F246" s="5"/>
      <c r="G246" s="5"/>
      <c r="Z246">
        <f t="shared" si="7"/>
        <v>0</v>
      </c>
    </row>
    <row r="247" spans="1:26" x14ac:dyDescent="0.25">
      <c r="A247" t="str">
        <f t="shared" si="6"/>
        <v>84 REQUEST MORE TEXT FIELDS - SEND DISC INFO</v>
      </c>
      <c r="B247" t="s">
        <v>17</v>
      </c>
      <c r="D247" s="5"/>
      <c r="E247" s="5"/>
      <c r="F247" s="5"/>
      <c r="G247" s="5"/>
      <c r="Z247">
        <f t="shared" si="7"/>
        <v>1</v>
      </c>
    </row>
    <row r="248" spans="1:26" x14ac:dyDescent="0.25">
      <c r="A248" t="str">
        <f t="shared" si="6"/>
        <v>01 MASTER REQUEST - SLAVE POLL</v>
      </c>
      <c r="B248" t="s">
        <v>37</v>
      </c>
      <c r="D248" s="5"/>
      <c r="E248" s="5"/>
      <c r="F248" s="5"/>
      <c r="G248" s="5"/>
      <c r="Z248">
        <f t="shared" si="7"/>
        <v>0</v>
      </c>
    </row>
    <row r="249" spans="1:26" x14ac:dyDescent="0.25">
      <c r="A249" t="str">
        <f t="shared" si="6"/>
        <v>95 MAGAZINE INFO - CD1 YES, CD2 YES, CD3 NO, CD4 NO, CD5 NO, CD6 NO</v>
      </c>
      <c r="B249" t="s">
        <v>38</v>
      </c>
      <c r="D249" s="5"/>
      <c r="E249" s="5"/>
      <c r="F249" s="5"/>
      <c r="G249" s="5"/>
      <c r="Z249">
        <f t="shared" si="7"/>
        <v>0</v>
      </c>
    </row>
    <row r="250" spans="1:26" x14ac:dyDescent="0.25">
      <c r="A250" t="str">
        <f t="shared" si="6"/>
        <v>01 MASTER REQUEST - SLAVE POLL</v>
      </c>
      <c r="B250" t="s">
        <v>37</v>
      </c>
      <c r="D250" s="5"/>
      <c r="E250" s="5"/>
      <c r="F250" s="5"/>
      <c r="G250" s="5"/>
      <c r="Z250">
        <f t="shared" si="7"/>
        <v>1</v>
      </c>
    </row>
    <row r="251" spans="1:26" x14ac:dyDescent="0.25">
      <c r="A251" t="str">
        <f t="shared" si="6"/>
        <v>97 DISC INFO - TRACKS: 69, MINS: 88, SECS: 00, DISC: 2</v>
      </c>
      <c r="B251" t="s">
        <v>39</v>
      </c>
      <c r="D251" s="5"/>
      <c r="E251" s="5"/>
      <c r="F251" s="5"/>
      <c r="G251" s="5"/>
      <c r="Z251">
        <f t="shared" si="7"/>
        <v>0</v>
      </c>
    </row>
    <row r="252" spans="1:26" x14ac:dyDescent="0.25">
      <c r="A252" t="str">
        <f t="shared" si="6"/>
        <v>01 MASTER REQUEST - SLAVE POLL</v>
      </c>
      <c r="B252" t="s">
        <v>37</v>
      </c>
      <c r="D252" s="5"/>
      <c r="E252" s="5"/>
      <c r="F252" s="5"/>
      <c r="G252" s="5"/>
      <c r="Z252">
        <f t="shared" si="7"/>
        <v>1</v>
      </c>
    </row>
    <row r="253" spans="1:26" x14ac:dyDescent="0.25">
      <c r="A253" t="str">
        <f t="shared" si="6"/>
        <v>90 TIME- TRACK: 01, 00:02, DISC: 2</v>
      </c>
      <c r="B253" t="s">
        <v>71</v>
      </c>
      <c r="D253" s="5"/>
      <c r="E253" s="5"/>
      <c r="F253" s="5"/>
      <c r="G253" s="5"/>
      <c r="Z253">
        <f t="shared" si="7"/>
        <v>0</v>
      </c>
    </row>
    <row r="254" spans="1:26" x14ac:dyDescent="0.25">
      <c r="A254" t="str">
        <f t="shared" si="6"/>
        <v>01 MASTER REQUEST - SLAVE POLL</v>
      </c>
      <c r="B254" t="s">
        <v>37</v>
      </c>
      <c r="D254" s="5"/>
      <c r="E254" s="5"/>
      <c r="F254" s="5"/>
      <c r="G254" s="5"/>
      <c r="Z254">
        <f t="shared" si="7"/>
        <v>1</v>
      </c>
    </row>
    <row r="255" spans="1:26" x14ac:dyDescent="0.25">
      <c r="A255" t="str">
        <f t="shared" si="6"/>
        <v>00 STATUS - PLAYING</v>
      </c>
      <c r="B255" t="s">
        <v>36</v>
      </c>
      <c r="D255" s="5"/>
      <c r="E255" s="5"/>
      <c r="F255" s="5"/>
      <c r="G255" s="5"/>
      <c r="Z255">
        <f t="shared" si="7"/>
        <v>0</v>
      </c>
    </row>
    <row r="256" spans="1:26" x14ac:dyDescent="0.25">
      <c r="A256" t="str">
        <f t="shared" si="6"/>
        <v>84 REQUEST MORE TEXT FIELDS - SEND MAGAZINE INFO</v>
      </c>
      <c r="B256" t="s">
        <v>14</v>
      </c>
      <c r="D256" s="5"/>
      <c r="E256" s="5"/>
      <c r="F256" s="5"/>
      <c r="G256" s="5"/>
      <c r="Z256">
        <f t="shared" si="7"/>
        <v>1</v>
      </c>
    </row>
    <row r="257" spans="1:26" x14ac:dyDescent="0.25">
      <c r="A257" t="str">
        <f t="shared" si="6"/>
        <v>01 MASTER REQUEST - TIME POLL</v>
      </c>
      <c r="B257" t="s">
        <v>35</v>
      </c>
      <c r="D257" s="5"/>
      <c r="E257" s="5"/>
      <c r="F257" s="5"/>
      <c r="G257" s="5"/>
      <c r="Z257">
        <f t="shared" si="7"/>
        <v>0</v>
      </c>
    </row>
    <row r="258" spans="1:26" x14ac:dyDescent="0.25">
      <c r="A258" t="str">
        <f t="shared" si="6"/>
        <v>00 STATUS - PLAYING</v>
      </c>
      <c r="B258" t="s">
        <v>36</v>
      </c>
      <c r="D258" s="5"/>
      <c r="E258" s="5"/>
      <c r="F258" s="5"/>
      <c r="G258" s="5"/>
      <c r="Z258">
        <f t="shared" si="7"/>
        <v>0</v>
      </c>
    </row>
    <row r="259" spans="1:26" x14ac:dyDescent="0.25">
      <c r="A259" t="str">
        <f t="shared" ref="A259:A322" si="8">ParseUnilink(B259)</f>
        <v>84 REQUEST MORE TEXT FIELDS - SEND DISC INFO</v>
      </c>
      <c r="B259" t="s">
        <v>17</v>
      </c>
      <c r="D259" s="5"/>
      <c r="E259" s="5"/>
      <c r="F259" s="5"/>
      <c r="G259" s="5"/>
      <c r="Z259">
        <f t="shared" ref="Z259:Z322" si="9">IF(    ISNUMBER(SEARCH("10 30",B258,1))  +  ISNUMBER(SEARCH("10 31",B258,1))  +  ISNUMBER(SEARCH("70 30",B258,1))  +  ISNUMBER(SEARCH("70 31",B258,1))  +  ISNUMBER(SEARCH("77 30",B258,1))  +  ISNUMBER(SEARCH("77 31",B258,1)),1,0)</f>
        <v>1</v>
      </c>
    </row>
    <row r="260" spans="1:26" x14ac:dyDescent="0.25">
      <c r="A260" t="str">
        <f t="shared" si="8"/>
        <v>01 MASTER REQUEST - SLAVE POLL</v>
      </c>
      <c r="B260" t="s">
        <v>37</v>
      </c>
      <c r="D260" s="5"/>
      <c r="E260" s="5"/>
      <c r="F260" s="5"/>
      <c r="G260" s="5"/>
      <c r="Z260">
        <f t="shared" si="9"/>
        <v>0</v>
      </c>
    </row>
    <row r="261" spans="1:26" x14ac:dyDescent="0.25">
      <c r="A261" t="str">
        <f t="shared" si="8"/>
        <v>90 TIME- TRACK: 01, 00:03, DISC: 2</v>
      </c>
      <c r="B261" t="s">
        <v>40</v>
      </c>
      <c r="D261" s="5"/>
      <c r="E261" s="5"/>
      <c r="F261" s="5"/>
      <c r="G261" s="5"/>
      <c r="Z261">
        <f t="shared" si="9"/>
        <v>0</v>
      </c>
    </row>
    <row r="262" spans="1:26" x14ac:dyDescent="0.25">
      <c r="A262" t="str">
        <f t="shared" si="8"/>
        <v>01 MASTER REQUEST - SLAVE POLL</v>
      </c>
      <c r="B262" t="s">
        <v>37</v>
      </c>
      <c r="D262" s="5"/>
      <c r="E262" s="5"/>
      <c r="F262" s="5"/>
      <c r="G262" s="5"/>
      <c r="Z262">
        <f t="shared" si="9"/>
        <v>1</v>
      </c>
    </row>
    <row r="263" spans="1:26" x14ac:dyDescent="0.25">
      <c r="A263" t="str">
        <f t="shared" si="8"/>
        <v>95 MAGAZINE INFO - CD1 YES, CD2 YES, CD3 NO, CD4 NO, CD5 NO, CD6 NO</v>
      </c>
      <c r="B263" t="s">
        <v>38</v>
      </c>
      <c r="D263" s="5"/>
      <c r="E263" s="5"/>
      <c r="F263" s="5"/>
      <c r="G263" s="5"/>
      <c r="Z263">
        <f t="shared" si="9"/>
        <v>0</v>
      </c>
    </row>
    <row r="264" spans="1:26" x14ac:dyDescent="0.25">
      <c r="A264" t="str">
        <f t="shared" si="8"/>
        <v>01 MASTER REQUEST - SLAVE POLL</v>
      </c>
      <c r="B264" t="s">
        <v>37</v>
      </c>
      <c r="D264" s="5"/>
      <c r="E264" s="5"/>
      <c r="F264" s="5"/>
      <c r="G264" s="5"/>
      <c r="Z264">
        <f t="shared" si="9"/>
        <v>1</v>
      </c>
    </row>
    <row r="265" spans="1:26" x14ac:dyDescent="0.25">
      <c r="A265" t="str">
        <f t="shared" si="8"/>
        <v>97 DISC INFO - TRACKS: 69, MINS: 88, SECS: 00, DISC: 2</v>
      </c>
      <c r="B265" t="s">
        <v>39</v>
      </c>
      <c r="D265" s="5"/>
      <c r="E265" s="5"/>
      <c r="F265" s="5"/>
      <c r="G265" s="5"/>
      <c r="Z265">
        <f t="shared" si="9"/>
        <v>0</v>
      </c>
    </row>
    <row r="266" spans="1:26" x14ac:dyDescent="0.25">
      <c r="A266" t="str">
        <f t="shared" si="8"/>
        <v>01 MASTER REQUEST - SLAVE POLL</v>
      </c>
      <c r="B266" t="s">
        <v>37</v>
      </c>
      <c r="D266" s="5"/>
      <c r="E266" s="5"/>
      <c r="F266" s="5"/>
      <c r="G266" s="5"/>
      <c r="Z266">
        <f t="shared" si="9"/>
        <v>1</v>
      </c>
    </row>
    <row r="267" spans="1:26" x14ac:dyDescent="0.25">
      <c r="A267" t="str">
        <f t="shared" si="8"/>
        <v>00 STATUS - PLAYING</v>
      </c>
      <c r="B267" t="s">
        <v>36</v>
      </c>
      <c r="D267" s="5"/>
      <c r="E267" s="5"/>
      <c r="F267" s="5"/>
      <c r="G267" s="5"/>
      <c r="Z267">
        <f t="shared" si="9"/>
        <v>0</v>
      </c>
    </row>
    <row r="268" spans="1:26" x14ac:dyDescent="0.25">
      <c r="A268" t="str">
        <f t="shared" si="8"/>
        <v>24 FAST FORWARD (FROM MASTER)</v>
      </c>
      <c r="B268" t="s">
        <v>72</v>
      </c>
      <c r="D268" s="5"/>
      <c r="E268" s="5"/>
      <c r="F268" s="5"/>
      <c r="G268" s="5"/>
      <c r="Z268">
        <f t="shared" si="9"/>
        <v>1</v>
      </c>
    </row>
    <row r="269" spans="1:26" x14ac:dyDescent="0.25">
      <c r="A269" t="str">
        <f t="shared" si="8"/>
        <v>01 MASTER REQUEST - SLAVE POLL</v>
      </c>
      <c r="B269" t="s">
        <v>37</v>
      </c>
      <c r="D269" s="5"/>
      <c r="E269" s="5"/>
      <c r="F269" s="5"/>
      <c r="G269" s="5"/>
      <c r="Z269">
        <f t="shared" si="9"/>
        <v>0</v>
      </c>
    </row>
    <row r="270" spans="1:26" x14ac:dyDescent="0.25">
      <c r="A270" t="str">
        <f t="shared" si="8"/>
        <v>C0 SEEKING TO - (NO PARITY2???) XCARLINK BUG, ALFA 166 ICS DOESN'T ALLOW 13 BYTE RESPONSES!</v>
      </c>
      <c r="B270" t="s">
        <v>73</v>
      </c>
      <c r="D270" s="5"/>
      <c r="E270" s="5"/>
      <c r="F270" s="5"/>
      <c r="G270" s="5"/>
      <c r="Z270">
        <f t="shared" si="9"/>
        <v>0</v>
      </c>
    </row>
    <row r="271" spans="1:26" x14ac:dyDescent="0.25">
      <c r="A271" t="str">
        <f t="shared" si="8"/>
        <v>01 MASTER REQUEST - SLAVE POLL</v>
      </c>
      <c r="B271" t="s">
        <v>37</v>
      </c>
      <c r="D271" s="5"/>
      <c r="E271" s="5"/>
      <c r="F271" s="5"/>
      <c r="G271" s="5"/>
      <c r="Z271">
        <f t="shared" si="9"/>
        <v>1</v>
      </c>
    </row>
    <row r="272" spans="1:26" x14ac:dyDescent="0.25">
      <c r="A272" t="str">
        <f t="shared" si="8"/>
        <v>00 STATUS - ???</v>
      </c>
      <c r="B272" t="s">
        <v>74</v>
      </c>
      <c r="D272" s="5"/>
      <c r="E272" s="5"/>
      <c r="F272" s="5"/>
      <c r="G272" s="5"/>
      <c r="Z272">
        <f t="shared" si="9"/>
        <v>0</v>
      </c>
    </row>
    <row r="273" spans="1:26" x14ac:dyDescent="0.25">
      <c r="A273" t="str">
        <f t="shared" si="8"/>
        <v>01 MASTER REQUEST - SLAVE POLL</v>
      </c>
      <c r="B273" t="s">
        <v>37</v>
      </c>
      <c r="D273" s="5"/>
      <c r="E273" s="5"/>
      <c r="F273" s="5"/>
      <c r="G273" s="5"/>
      <c r="Z273">
        <f t="shared" si="9"/>
        <v>1</v>
      </c>
    </row>
    <row r="274" spans="1:26" x14ac:dyDescent="0.25">
      <c r="A274" t="str">
        <f t="shared" si="8"/>
        <v>90 TIME- TRACK: 01, 00:03, DISC: 2</v>
      </c>
      <c r="B274" t="s">
        <v>75</v>
      </c>
      <c r="D274" s="5"/>
      <c r="E274" s="5"/>
      <c r="F274" s="5"/>
      <c r="G274" s="5"/>
      <c r="Z274">
        <f t="shared" si="9"/>
        <v>0</v>
      </c>
    </row>
    <row r="275" spans="1:26" x14ac:dyDescent="0.25">
      <c r="A275" t="str">
        <f t="shared" si="8"/>
        <v>01 MASTER REQUEST - SLAVE POLL</v>
      </c>
      <c r="B275" t="s">
        <v>37</v>
      </c>
      <c r="D275" s="5"/>
      <c r="E275" s="5"/>
      <c r="F275" s="5"/>
      <c r="G275" s="5"/>
      <c r="Z275">
        <f t="shared" si="9"/>
        <v>1</v>
      </c>
    </row>
    <row r="276" spans="1:26" x14ac:dyDescent="0.25">
      <c r="A276" t="str">
        <f t="shared" si="8"/>
        <v>00 STATUS - ???</v>
      </c>
      <c r="B276" t="s">
        <v>74</v>
      </c>
      <c r="D276" s="5"/>
      <c r="E276" s="5"/>
      <c r="F276" s="5"/>
      <c r="G276" s="5"/>
      <c r="Z276">
        <f t="shared" si="9"/>
        <v>0</v>
      </c>
    </row>
    <row r="277" spans="1:26" x14ac:dyDescent="0.25">
      <c r="A277" t="str">
        <f t="shared" si="8"/>
        <v>84 REQUEST MORE TEXT FIELDS - SEND MAGAZINE INFO</v>
      </c>
      <c r="B277" t="s">
        <v>14</v>
      </c>
      <c r="D277" s="5"/>
      <c r="E277" s="5"/>
      <c r="F277" s="5"/>
      <c r="G277" s="5"/>
      <c r="Z277">
        <f t="shared" si="9"/>
        <v>1</v>
      </c>
    </row>
    <row r="278" spans="1:26" x14ac:dyDescent="0.25">
      <c r="A278" t="str">
        <f t="shared" si="8"/>
        <v>01 MASTER REQUEST - TIME POLL</v>
      </c>
      <c r="B278" t="s">
        <v>35</v>
      </c>
      <c r="D278" s="5"/>
      <c r="E278" s="5"/>
      <c r="F278" s="5"/>
      <c r="G278" s="5"/>
      <c r="Z278">
        <f t="shared" si="9"/>
        <v>0</v>
      </c>
    </row>
    <row r="279" spans="1:26" x14ac:dyDescent="0.25">
      <c r="A279" t="str">
        <f t="shared" si="8"/>
        <v>00 STATUS - PLAYING</v>
      </c>
      <c r="B279" t="s">
        <v>36</v>
      </c>
      <c r="D279" s="5"/>
      <c r="E279" s="5"/>
      <c r="F279" s="5"/>
      <c r="G279" s="5"/>
      <c r="Z279">
        <f t="shared" si="9"/>
        <v>0</v>
      </c>
    </row>
    <row r="280" spans="1:26" x14ac:dyDescent="0.25">
      <c r="A280" t="str">
        <f t="shared" si="8"/>
        <v>84 REQUEST MORE TEXT FIELDS - SEND DISC INFO</v>
      </c>
      <c r="B280" t="s">
        <v>17</v>
      </c>
      <c r="D280" s="5"/>
      <c r="E280" s="5"/>
      <c r="F280" s="5"/>
      <c r="G280" s="5"/>
      <c r="Z280">
        <f t="shared" si="9"/>
        <v>1</v>
      </c>
    </row>
    <row r="281" spans="1:26" x14ac:dyDescent="0.25">
      <c r="A281" t="str">
        <f t="shared" si="8"/>
        <v>01 MASTER REQUEST - SLAVE POLL</v>
      </c>
      <c r="B281" t="s">
        <v>37</v>
      </c>
      <c r="D281" s="5"/>
      <c r="E281" s="5"/>
      <c r="F281" s="5"/>
      <c r="G281" s="5"/>
      <c r="Z281">
        <f t="shared" si="9"/>
        <v>0</v>
      </c>
    </row>
    <row r="282" spans="1:26" x14ac:dyDescent="0.25">
      <c r="A282" t="str">
        <f t="shared" si="8"/>
        <v>95 MAGAZINE INFO - CD1 YES, CD2 YES, CD3 NO, CD4 NO, CD5 NO, CD6 NO</v>
      </c>
      <c r="B282" t="s">
        <v>38</v>
      </c>
      <c r="D282" s="5"/>
      <c r="E282" s="5"/>
      <c r="F282" s="5"/>
      <c r="G282" s="5"/>
      <c r="Z282">
        <f t="shared" si="9"/>
        <v>0</v>
      </c>
    </row>
    <row r="283" spans="1:26" x14ac:dyDescent="0.25">
      <c r="A283" t="str">
        <f t="shared" si="8"/>
        <v>01 MASTER REQUEST - SLAVE POLL</v>
      </c>
      <c r="B283" t="s">
        <v>37</v>
      </c>
      <c r="D283" s="5"/>
      <c r="E283" s="5"/>
      <c r="F283" s="5"/>
      <c r="G283" s="5"/>
      <c r="Z283">
        <f t="shared" si="9"/>
        <v>1</v>
      </c>
    </row>
    <row r="284" spans="1:26" x14ac:dyDescent="0.25">
      <c r="A284" t="str">
        <f t="shared" si="8"/>
        <v>97 DISC INFO - TRACKS: 69, MINS: 88, SECS: 00, DISC: 2</v>
      </c>
      <c r="B284" t="s">
        <v>39</v>
      </c>
      <c r="D284" s="5"/>
      <c r="E284" s="5"/>
      <c r="F284" s="5"/>
      <c r="G284" s="5"/>
      <c r="Z284">
        <f t="shared" si="9"/>
        <v>0</v>
      </c>
    </row>
    <row r="285" spans="1:26" x14ac:dyDescent="0.25">
      <c r="A285" t="str">
        <f t="shared" si="8"/>
        <v>01 MASTER REQUEST - SLAVE POLL</v>
      </c>
      <c r="B285" t="s">
        <v>37</v>
      </c>
      <c r="D285" s="5"/>
      <c r="E285" s="5"/>
      <c r="F285" s="5"/>
      <c r="G285" s="5"/>
      <c r="Z285">
        <f t="shared" si="9"/>
        <v>1</v>
      </c>
    </row>
    <row r="286" spans="1:26" x14ac:dyDescent="0.25">
      <c r="A286" t="str">
        <f t="shared" si="8"/>
        <v>90 TIME- TRACK: 01, 00:15, DISC: 2</v>
      </c>
      <c r="B286" t="s">
        <v>76</v>
      </c>
      <c r="D286" s="5"/>
      <c r="E286" s="5"/>
      <c r="F286" s="5"/>
      <c r="G286" s="5"/>
      <c r="Z286">
        <f t="shared" si="9"/>
        <v>0</v>
      </c>
    </row>
    <row r="287" spans="1:26" x14ac:dyDescent="0.25">
      <c r="A287" t="str">
        <f t="shared" si="8"/>
        <v>01 MASTER REQUEST - SLAVE POLL</v>
      </c>
      <c r="B287" t="s">
        <v>37</v>
      </c>
      <c r="D287" s="5"/>
      <c r="E287" s="5"/>
      <c r="F287" s="5"/>
      <c r="G287" s="5"/>
      <c r="Z287">
        <f t="shared" si="9"/>
        <v>1</v>
      </c>
    </row>
    <row r="288" spans="1:26" x14ac:dyDescent="0.25">
      <c r="A288" t="str">
        <f t="shared" si="8"/>
        <v>00 STATUS - ???</v>
      </c>
      <c r="B288" t="s">
        <v>74</v>
      </c>
      <c r="D288" s="5"/>
      <c r="E288" s="5"/>
      <c r="F288" s="5"/>
      <c r="G288" s="5"/>
      <c r="Z288">
        <f t="shared" si="9"/>
        <v>0</v>
      </c>
    </row>
    <row r="289" spans="1:26" x14ac:dyDescent="0.25">
      <c r="A289" t="str">
        <f t="shared" si="8"/>
        <v>01 MASTER REQUEST - SLAVE POLL</v>
      </c>
      <c r="B289" t="s">
        <v>37</v>
      </c>
      <c r="D289" s="5"/>
      <c r="E289" s="5"/>
      <c r="F289" s="5"/>
      <c r="G289" s="5"/>
      <c r="Z289">
        <f t="shared" si="9"/>
        <v>1</v>
      </c>
    </row>
    <row r="290" spans="1:26" x14ac:dyDescent="0.25">
      <c r="A290" t="str">
        <f t="shared" si="8"/>
        <v>90 TIME- TRACK: 01, 00:24, DISC: 2</v>
      </c>
      <c r="B290" t="s">
        <v>77</v>
      </c>
      <c r="D290" s="5"/>
      <c r="E290" s="5"/>
      <c r="F290" s="5"/>
      <c r="G290" s="5"/>
      <c r="Z290">
        <f t="shared" si="9"/>
        <v>0</v>
      </c>
    </row>
    <row r="291" spans="1:26" x14ac:dyDescent="0.25">
      <c r="A291" t="str">
        <f t="shared" si="8"/>
        <v>01 MASTER REQUEST - SLAVE POLL</v>
      </c>
      <c r="B291" t="s">
        <v>37</v>
      </c>
      <c r="D291" s="5"/>
      <c r="E291" s="5"/>
      <c r="F291" s="5"/>
      <c r="G291" s="5"/>
      <c r="Z291">
        <f t="shared" si="9"/>
        <v>1</v>
      </c>
    </row>
    <row r="292" spans="1:26" x14ac:dyDescent="0.25">
      <c r="A292" t="str">
        <f t="shared" si="8"/>
        <v>00 STATUS - ???</v>
      </c>
      <c r="B292" t="s">
        <v>74</v>
      </c>
      <c r="D292" s="5"/>
      <c r="E292" s="5"/>
      <c r="F292" s="5"/>
      <c r="G292" s="5"/>
      <c r="Z292">
        <f t="shared" si="9"/>
        <v>0</v>
      </c>
    </row>
    <row r="293" spans="1:26" x14ac:dyDescent="0.25">
      <c r="A293" t="str">
        <f t="shared" si="8"/>
        <v>84 REQUEST MORE TEXT FIELDS - SEND MAGAZINE INFO</v>
      </c>
      <c r="B293" t="s">
        <v>14</v>
      </c>
      <c r="D293" s="5"/>
      <c r="E293" s="5"/>
      <c r="F293" s="5"/>
      <c r="G293" s="5"/>
      <c r="Z293">
        <f t="shared" si="9"/>
        <v>1</v>
      </c>
    </row>
    <row r="294" spans="1:26" x14ac:dyDescent="0.25">
      <c r="A294" t="str">
        <f t="shared" si="8"/>
        <v>01 MASTER REQUEST - TIME POLL</v>
      </c>
      <c r="B294" t="s">
        <v>35</v>
      </c>
      <c r="D294" s="5"/>
      <c r="E294" s="5"/>
      <c r="F294" s="5"/>
      <c r="G294" s="5"/>
      <c r="Z294">
        <f t="shared" si="9"/>
        <v>0</v>
      </c>
    </row>
    <row r="295" spans="1:26" x14ac:dyDescent="0.25">
      <c r="A295" t="str">
        <f t="shared" si="8"/>
        <v>00 STATUS - PLAYING</v>
      </c>
      <c r="B295" t="s">
        <v>36</v>
      </c>
      <c r="D295" s="5"/>
      <c r="E295" s="5"/>
      <c r="F295" s="5"/>
      <c r="G295" s="5"/>
      <c r="Z295">
        <f t="shared" si="9"/>
        <v>0</v>
      </c>
    </row>
    <row r="296" spans="1:26" x14ac:dyDescent="0.25">
      <c r="A296" t="str">
        <f t="shared" si="8"/>
        <v>84 REQUEST MORE TEXT FIELDS - SEND DISC INFO</v>
      </c>
      <c r="B296" t="s">
        <v>17</v>
      </c>
      <c r="D296" s="5"/>
      <c r="E296" s="5"/>
      <c r="F296" s="5"/>
      <c r="G296" s="5"/>
      <c r="Z296">
        <f t="shared" si="9"/>
        <v>1</v>
      </c>
    </row>
    <row r="297" spans="1:26" x14ac:dyDescent="0.25">
      <c r="A297" t="str">
        <f t="shared" si="8"/>
        <v>01 MASTER REQUEST - SLAVE POLL</v>
      </c>
      <c r="B297" t="s">
        <v>37</v>
      </c>
      <c r="D297" s="5"/>
      <c r="E297" s="5"/>
      <c r="F297" s="5"/>
      <c r="G297" s="5"/>
      <c r="Z297">
        <f t="shared" si="9"/>
        <v>0</v>
      </c>
    </row>
    <row r="298" spans="1:26" x14ac:dyDescent="0.25">
      <c r="A298" t="str">
        <f t="shared" si="8"/>
        <v>95 MAGAZINE INFO - CD1 YES, CD2 YES, CD3 NO, CD4 NO, CD5 NO, CD6 NO</v>
      </c>
      <c r="B298" t="s">
        <v>38</v>
      </c>
      <c r="D298" s="5"/>
      <c r="E298" s="5"/>
      <c r="F298" s="5"/>
      <c r="G298" s="5"/>
      <c r="Z298">
        <f t="shared" si="9"/>
        <v>0</v>
      </c>
    </row>
    <row r="299" spans="1:26" x14ac:dyDescent="0.25">
      <c r="A299" t="str">
        <f t="shared" si="8"/>
        <v>01 MASTER REQUEST - SLAVE POLL</v>
      </c>
      <c r="B299" t="s">
        <v>37</v>
      </c>
      <c r="D299" s="5"/>
      <c r="E299" s="5"/>
      <c r="F299" s="5"/>
      <c r="G299" s="5"/>
      <c r="Z299">
        <f t="shared" si="9"/>
        <v>1</v>
      </c>
    </row>
    <row r="300" spans="1:26" x14ac:dyDescent="0.25">
      <c r="A300" t="str">
        <f t="shared" si="8"/>
        <v>97 DISC INFO - TRACKS: 69, MINS: 88, SECS: 00, DISC: 2</v>
      </c>
      <c r="B300" t="s">
        <v>39</v>
      </c>
      <c r="D300" s="5"/>
      <c r="E300" s="5"/>
      <c r="F300" s="5"/>
      <c r="G300" s="5"/>
      <c r="Z300">
        <f t="shared" si="9"/>
        <v>0</v>
      </c>
    </row>
    <row r="301" spans="1:26" x14ac:dyDescent="0.25">
      <c r="A301" t="str">
        <f t="shared" si="8"/>
        <v>01 MASTER REQUEST - SLAVE POLL</v>
      </c>
      <c r="B301" t="s">
        <v>37</v>
      </c>
      <c r="D301" s="5"/>
      <c r="E301" s="5"/>
      <c r="F301" s="5"/>
      <c r="G301" s="5"/>
      <c r="Z301">
        <f t="shared" si="9"/>
        <v>1</v>
      </c>
    </row>
    <row r="302" spans="1:26" x14ac:dyDescent="0.25">
      <c r="A302" t="str">
        <f t="shared" si="8"/>
        <v>90 TIME- TRACK: 01, 00:36, DISC: 2</v>
      </c>
      <c r="B302" t="s">
        <v>78</v>
      </c>
      <c r="D302" s="5"/>
      <c r="E302" s="5"/>
      <c r="F302" s="5"/>
      <c r="G302" s="5"/>
      <c r="Z302">
        <f t="shared" si="9"/>
        <v>0</v>
      </c>
    </row>
    <row r="303" spans="1:26" x14ac:dyDescent="0.25">
      <c r="A303" t="str">
        <f t="shared" si="8"/>
        <v>01 MASTER REQUEST - SLAVE POLL</v>
      </c>
      <c r="B303" t="s">
        <v>37</v>
      </c>
      <c r="D303" s="5"/>
      <c r="E303" s="5"/>
      <c r="F303" s="5"/>
      <c r="G303" s="5"/>
      <c r="Z303">
        <f t="shared" si="9"/>
        <v>1</v>
      </c>
    </row>
    <row r="304" spans="1:26" x14ac:dyDescent="0.25">
      <c r="A304" t="str">
        <f t="shared" si="8"/>
        <v>00 STATUS - ???</v>
      </c>
      <c r="B304" t="s">
        <v>74</v>
      </c>
      <c r="D304" s="5"/>
      <c r="E304" s="5"/>
      <c r="F304" s="5"/>
      <c r="G304" s="5"/>
      <c r="Z304">
        <f t="shared" si="9"/>
        <v>0</v>
      </c>
    </row>
    <row r="305" spans="1:26" x14ac:dyDescent="0.25">
      <c r="A305" t="str">
        <f t="shared" si="8"/>
        <v>01 MASTER REQUEST - SLAVE POLL</v>
      </c>
      <c r="B305" t="s">
        <v>37</v>
      </c>
      <c r="D305" s="5"/>
      <c r="E305" s="5"/>
      <c r="F305" s="5"/>
      <c r="G305" s="5"/>
      <c r="Z305">
        <f t="shared" si="9"/>
        <v>1</v>
      </c>
    </row>
    <row r="306" spans="1:26" x14ac:dyDescent="0.25">
      <c r="A306" t="str">
        <f t="shared" si="8"/>
        <v>90 TIME- TRACK: 01, 00:45, DISC: 2</v>
      </c>
      <c r="B306" t="s">
        <v>79</v>
      </c>
      <c r="D306" s="5"/>
      <c r="E306" s="5"/>
      <c r="F306" s="5"/>
      <c r="G306" s="5"/>
      <c r="Z306">
        <f t="shared" si="9"/>
        <v>0</v>
      </c>
    </row>
    <row r="307" spans="1:26" x14ac:dyDescent="0.25">
      <c r="A307" t="str">
        <f t="shared" si="8"/>
        <v>01 MASTER REQUEST - SLAVE POLL</v>
      </c>
      <c r="B307" t="s">
        <v>37</v>
      </c>
      <c r="D307" s="5"/>
      <c r="E307" s="5"/>
      <c r="F307" s="5"/>
      <c r="G307" s="5"/>
      <c r="Z307">
        <f t="shared" si="9"/>
        <v>1</v>
      </c>
    </row>
    <row r="308" spans="1:26" x14ac:dyDescent="0.25">
      <c r="A308" t="str">
        <f t="shared" si="8"/>
        <v>00 STATUS - ???</v>
      </c>
      <c r="B308" t="s">
        <v>74</v>
      </c>
      <c r="D308" s="5"/>
      <c r="E308" s="5"/>
      <c r="F308" s="5"/>
      <c r="G308" s="5"/>
      <c r="Z308">
        <f t="shared" si="9"/>
        <v>0</v>
      </c>
    </row>
    <row r="309" spans="1:26" x14ac:dyDescent="0.25">
      <c r="A309" t="str">
        <f t="shared" si="8"/>
        <v>84 REQUEST MORE TEXT FIELDS - SEND MAGAZINE INFO</v>
      </c>
      <c r="B309" t="s">
        <v>14</v>
      </c>
      <c r="D309" s="5"/>
      <c r="E309" s="5"/>
      <c r="F309" s="5"/>
      <c r="G309" s="5"/>
      <c r="Z309">
        <f t="shared" si="9"/>
        <v>1</v>
      </c>
    </row>
    <row r="310" spans="1:26" x14ac:dyDescent="0.25">
      <c r="A310" t="str">
        <f t="shared" si="8"/>
        <v>01 MASTER REQUEST - TIME POLL</v>
      </c>
      <c r="B310" t="s">
        <v>35</v>
      </c>
      <c r="D310" s="5"/>
      <c r="E310" s="5"/>
      <c r="F310" s="5"/>
      <c r="G310" s="5"/>
      <c r="Z310">
        <f t="shared" si="9"/>
        <v>0</v>
      </c>
    </row>
    <row r="311" spans="1:26" x14ac:dyDescent="0.25">
      <c r="A311" t="str">
        <f t="shared" si="8"/>
        <v>00 STATUS - PLAYING</v>
      </c>
      <c r="B311" t="s">
        <v>36</v>
      </c>
      <c r="D311" s="5"/>
      <c r="E311" s="5"/>
      <c r="F311" s="5"/>
      <c r="G311" s="5"/>
      <c r="Z311">
        <f t="shared" si="9"/>
        <v>0</v>
      </c>
    </row>
    <row r="312" spans="1:26" x14ac:dyDescent="0.25">
      <c r="A312" t="str">
        <f t="shared" si="8"/>
        <v>84 REQUEST MORE TEXT FIELDS - SEND DISC INFO</v>
      </c>
      <c r="B312" t="s">
        <v>17</v>
      </c>
      <c r="D312" s="5"/>
      <c r="E312" s="5"/>
      <c r="F312" s="5"/>
      <c r="G312" s="5"/>
      <c r="Z312">
        <f t="shared" si="9"/>
        <v>1</v>
      </c>
    </row>
    <row r="313" spans="1:26" x14ac:dyDescent="0.25">
      <c r="A313" t="str">
        <f t="shared" si="8"/>
        <v>01 MASTER REQUEST - SLAVE POLL</v>
      </c>
      <c r="B313" t="s">
        <v>37</v>
      </c>
      <c r="D313" s="5"/>
      <c r="E313" s="5"/>
      <c r="F313" s="5"/>
      <c r="G313" s="5"/>
      <c r="Z313">
        <f t="shared" si="9"/>
        <v>0</v>
      </c>
    </row>
    <row r="314" spans="1:26" x14ac:dyDescent="0.25">
      <c r="A314" t="str">
        <f t="shared" si="8"/>
        <v>95 MAGAZINE INFO - CD1 YES, CD2 YES, CD3 NO, CD4 NO, CD5 NO, CD6 NO</v>
      </c>
      <c r="B314" t="s">
        <v>38</v>
      </c>
      <c r="D314" s="5"/>
      <c r="E314" s="5"/>
      <c r="F314" s="5"/>
      <c r="G314" s="5"/>
      <c r="Z314">
        <f t="shared" si="9"/>
        <v>0</v>
      </c>
    </row>
    <row r="315" spans="1:26" x14ac:dyDescent="0.25">
      <c r="A315" t="str">
        <f t="shared" si="8"/>
        <v>01 MASTER REQUEST - SLAVE POLL</v>
      </c>
      <c r="B315" t="s">
        <v>37</v>
      </c>
      <c r="D315" s="5"/>
      <c r="E315" s="5"/>
      <c r="F315" s="5"/>
      <c r="G315" s="5"/>
      <c r="Z315">
        <f t="shared" si="9"/>
        <v>1</v>
      </c>
    </row>
    <row r="316" spans="1:26" x14ac:dyDescent="0.25">
      <c r="A316" t="str">
        <f t="shared" si="8"/>
        <v>97 DISC INFO - TRACKS: 69, MINS: 88, SECS: 00, DISC: 2</v>
      </c>
      <c r="B316" t="s">
        <v>39</v>
      </c>
      <c r="D316" s="5"/>
      <c r="E316" s="5"/>
      <c r="F316" s="5"/>
      <c r="G316" s="5"/>
      <c r="Z316">
        <f t="shared" si="9"/>
        <v>0</v>
      </c>
    </row>
    <row r="317" spans="1:26" x14ac:dyDescent="0.25">
      <c r="A317" t="str">
        <f t="shared" si="8"/>
        <v>01 MASTER REQUEST - SLAVE POLL</v>
      </c>
      <c r="B317" t="s">
        <v>37</v>
      </c>
      <c r="D317" s="5"/>
      <c r="E317" s="5"/>
      <c r="F317" s="5"/>
      <c r="G317" s="5"/>
      <c r="Z317">
        <f t="shared" si="9"/>
        <v>1</v>
      </c>
    </row>
    <row r="318" spans="1:26" x14ac:dyDescent="0.25">
      <c r="A318" t="str">
        <f t="shared" si="8"/>
        <v>00 STATUS - ???</v>
      </c>
      <c r="B318" t="s">
        <v>74</v>
      </c>
      <c r="D318" s="5"/>
      <c r="E318" s="5"/>
      <c r="F318" s="5"/>
      <c r="G318" s="5"/>
      <c r="Z318">
        <f t="shared" si="9"/>
        <v>0</v>
      </c>
    </row>
    <row r="319" spans="1:26" x14ac:dyDescent="0.25">
      <c r="A319" t="str">
        <f t="shared" si="8"/>
        <v>01 MASTER REQUEST - SLAVE POLL</v>
      </c>
      <c r="B319" t="s">
        <v>37</v>
      </c>
      <c r="D319" s="5"/>
      <c r="E319" s="5"/>
      <c r="F319" s="5"/>
      <c r="G319" s="5"/>
      <c r="Z319">
        <f t="shared" si="9"/>
        <v>1</v>
      </c>
    </row>
    <row r="320" spans="1:26" x14ac:dyDescent="0.25">
      <c r="A320" t="str">
        <f t="shared" si="8"/>
        <v>90 TIME- TRACK: 01, 00:57, DISC: 2</v>
      </c>
      <c r="B320" t="s">
        <v>80</v>
      </c>
      <c r="D320" s="5"/>
      <c r="E320" s="5"/>
      <c r="F320" s="5"/>
      <c r="G320" s="5"/>
      <c r="Z320">
        <f t="shared" si="9"/>
        <v>0</v>
      </c>
    </row>
    <row r="321" spans="1:26" x14ac:dyDescent="0.25">
      <c r="A321" t="str">
        <f t="shared" si="8"/>
        <v>01 MASTER REQUEST - SLAVE POLL</v>
      </c>
      <c r="B321" t="s">
        <v>37</v>
      </c>
      <c r="D321" s="5"/>
      <c r="E321" s="5"/>
      <c r="F321" s="5"/>
      <c r="G321" s="5"/>
      <c r="Z321">
        <f t="shared" si="9"/>
        <v>1</v>
      </c>
    </row>
    <row r="322" spans="1:26" x14ac:dyDescent="0.25">
      <c r="A322" t="str">
        <f t="shared" si="8"/>
        <v>00 STATUS - ???</v>
      </c>
      <c r="B322" t="s">
        <v>74</v>
      </c>
      <c r="D322" s="5"/>
      <c r="E322" s="5"/>
      <c r="F322" s="5"/>
      <c r="G322" s="5"/>
      <c r="Z322">
        <f t="shared" si="9"/>
        <v>0</v>
      </c>
    </row>
    <row r="323" spans="1:26" x14ac:dyDescent="0.25">
      <c r="A323" t="str">
        <f t="shared" ref="A323:A386" si="10">ParseUnilink(B323)</f>
        <v>21 SWITCH TO - ???</v>
      </c>
      <c r="B323" t="s">
        <v>81</v>
      </c>
      <c r="D323" s="5"/>
      <c r="E323" s="5"/>
      <c r="F323" s="5"/>
      <c r="G323" s="5"/>
      <c r="Z323">
        <f t="shared" ref="Z323:Z386" si="11">IF(    ISNUMBER(SEARCH("10 30",B322,1))  +  ISNUMBER(SEARCH("10 31",B322,1))  +  ISNUMBER(SEARCH("70 30",B322,1))  +  ISNUMBER(SEARCH("70 31",B322,1))  +  ISNUMBER(SEARCH("77 30",B322,1))  +  ISNUMBER(SEARCH("77 31",B322,1)),1,0)</f>
        <v>1</v>
      </c>
    </row>
    <row r="324" spans="1:26" x14ac:dyDescent="0.25">
      <c r="A324" t="str">
        <f t="shared" si="10"/>
        <v>01 MASTER REQUEST - SLAVE POLL</v>
      </c>
      <c r="B324" t="s">
        <v>37</v>
      </c>
      <c r="D324" s="5"/>
      <c r="E324" s="5"/>
      <c r="F324" s="5"/>
      <c r="G324" s="5"/>
      <c r="Z324">
        <f t="shared" si="11"/>
        <v>0</v>
      </c>
    </row>
    <row r="325" spans="1:26" x14ac:dyDescent="0.25">
      <c r="A325" t="str">
        <f t="shared" si="10"/>
        <v>90 TIME- TRACK: 01, 00:59, DISC: 2</v>
      </c>
      <c r="B325" t="s">
        <v>82</v>
      </c>
      <c r="D325" s="5"/>
      <c r="E325" s="5"/>
      <c r="F325" s="5"/>
      <c r="G325" s="5"/>
      <c r="Z325">
        <f t="shared" si="11"/>
        <v>0</v>
      </c>
    </row>
    <row r="326" spans="1:26" x14ac:dyDescent="0.25">
      <c r="A326" t="str">
        <f t="shared" si="10"/>
        <v>01 MASTER REQUEST - SLAVE POLL</v>
      </c>
      <c r="B326" t="s">
        <v>37</v>
      </c>
      <c r="D326" s="5"/>
      <c r="E326" s="5"/>
      <c r="F326" s="5"/>
      <c r="G326" s="5"/>
      <c r="Z326">
        <f t="shared" si="11"/>
        <v>1</v>
      </c>
    </row>
    <row r="327" spans="1:26" x14ac:dyDescent="0.25">
      <c r="A327" t="str">
        <f t="shared" si="10"/>
        <v>00 STATUS - PLAYING</v>
      </c>
      <c r="B327" t="s">
        <v>36</v>
      </c>
      <c r="D327" s="5"/>
      <c r="E327" s="5"/>
      <c r="F327" s="5"/>
      <c r="G327" s="5"/>
      <c r="Z327">
        <f t="shared" si="11"/>
        <v>0</v>
      </c>
    </row>
    <row r="328" spans="1:26" x14ac:dyDescent="0.25">
      <c r="A328" t="str">
        <f t="shared" si="10"/>
        <v>84 REQUEST MORE TEXT FIELDS - SEND MAGAZINE INFO</v>
      </c>
      <c r="B328" t="s">
        <v>14</v>
      </c>
      <c r="D328" s="5"/>
      <c r="E328" s="5"/>
      <c r="F328" s="5"/>
      <c r="G328" s="5"/>
      <c r="Z328">
        <f t="shared" si="11"/>
        <v>1</v>
      </c>
    </row>
    <row r="329" spans="1:26" x14ac:dyDescent="0.25">
      <c r="A329" t="str">
        <f t="shared" si="10"/>
        <v>01 MASTER REQUEST - TIME POLL</v>
      </c>
      <c r="B329" t="s">
        <v>35</v>
      </c>
      <c r="D329" s="5"/>
      <c r="E329" s="5"/>
      <c r="F329" s="5"/>
      <c r="G329" s="5"/>
      <c r="Z329">
        <f t="shared" si="11"/>
        <v>0</v>
      </c>
    </row>
    <row r="330" spans="1:26" x14ac:dyDescent="0.25">
      <c r="A330" t="str">
        <f t="shared" si="10"/>
        <v>00 STATUS - PLAYING</v>
      </c>
      <c r="B330" t="s">
        <v>36</v>
      </c>
      <c r="D330" s="5"/>
      <c r="E330" s="5"/>
      <c r="F330" s="5"/>
      <c r="G330" s="5"/>
      <c r="Z330">
        <f t="shared" si="11"/>
        <v>0</v>
      </c>
    </row>
    <row r="331" spans="1:26" x14ac:dyDescent="0.25">
      <c r="A331" t="str">
        <f t="shared" si="10"/>
        <v>84 REQUEST MORE TEXT FIELDS - SEND DISC INFO</v>
      </c>
      <c r="B331" t="s">
        <v>17</v>
      </c>
      <c r="D331" s="5"/>
      <c r="E331" s="5"/>
      <c r="F331" s="5"/>
      <c r="G331" s="5"/>
      <c r="Z331">
        <f t="shared" si="11"/>
        <v>1</v>
      </c>
    </row>
    <row r="332" spans="1:26" x14ac:dyDescent="0.25">
      <c r="A332" t="str">
        <f t="shared" si="10"/>
        <v>01 MASTER REQUEST - SLAVE POLL</v>
      </c>
      <c r="B332" t="s">
        <v>37</v>
      </c>
      <c r="D332" s="5"/>
      <c r="E332" s="5"/>
      <c r="F332" s="5"/>
      <c r="G332" s="5"/>
      <c r="Z332">
        <f t="shared" si="11"/>
        <v>0</v>
      </c>
    </row>
    <row r="333" spans="1:26" x14ac:dyDescent="0.25">
      <c r="A333" t="str">
        <f t="shared" si="10"/>
        <v>95 MAGAZINE INFO - CD1 YES, CD2 YES, CD3 NO, CD4 NO, CD5 NO, CD6 NO</v>
      </c>
      <c r="B333" t="s">
        <v>38</v>
      </c>
      <c r="D333" s="5"/>
      <c r="E333" s="5"/>
      <c r="F333" s="5"/>
      <c r="G333" s="5"/>
      <c r="Z333">
        <f t="shared" si="11"/>
        <v>0</v>
      </c>
    </row>
    <row r="334" spans="1:26" x14ac:dyDescent="0.25">
      <c r="A334" t="str">
        <f t="shared" si="10"/>
        <v>01 MASTER REQUEST - SLAVE POLL</v>
      </c>
      <c r="B334" t="s">
        <v>37</v>
      </c>
      <c r="D334" s="5"/>
      <c r="E334" s="5"/>
      <c r="F334" s="5"/>
      <c r="G334" s="5"/>
      <c r="Z334">
        <f t="shared" si="11"/>
        <v>1</v>
      </c>
    </row>
    <row r="335" spans="1:26" x14ac:dyDescent="0.25">
      <c r="A335" t="str">
        <f t="shared" si="10"/>
        <v>97 DISC INFO - TRACKS: 69, MINS: 88, SECS: 00, DISC: 2</v>
      </c>
      <c r="B335" t="s">
        <v>39</v>
      </c>
      <c r="D335" s="5"/>
      <c r="E335" s="5"/>
      <c r="F335" s="5"/>
      <c r="G335" s="5"/>
      <c r="Z335">
        <f t="shared" si="11"/>
        <v>0</v>
      </c>
    </row>
    <row r="336" spans="1:26" x14ac:dyDescent="0.25">
      <c r="A336" t="str">
        <f t="shared" si="10"/>
        <v>01 MASTER REQUEST - SLAVE POLL</v>
      </c>
      <c r="B336" t="s">
        <v>37</v>
      </c>
      <c r="D336" s="5"/>
      <c r="E336" s="5"/>
      <c r="F336" s="5"/>
      <c r="G336" s="5"/>
      <c r="Z336">
        <f t="shared" si="11"/>
        <v>1</v>
      </c>
    </row>
    <row r="337" spans="1:26" x14ac:dyDescent="0.25">
      <c r="A337" t="str">
        <f t="shared" si="10"/>
        <v>90 TIME- TRACK: 01, 01:00, DISC: 2</v>
      </c>
      <c r="B337" t="s">
        <v>83</v>
      </c>
      <c r="D337" s="5"/>
      <c r="E337" s="5"/>
      <c r="F337" s="5"/>
      <c r="G337" s="5"/>
      <c r="Z337">
        <f t="shared" si="11"/>
        <v>0</v>
      </c>
    </row>
    <row r="338" spans="1:26" x14ac:dyDescent="0.25">
      <c r="A338" t="str">
        <f t="shared" si="10"/>
        <v>01 MASTER REQUEST - SLAVE POLL</v>
      </c>
      <c r="B338" t="s">
        <v>37</v>
      </c>
      <c r="D338" s="5"/>
      <c r="E338" s="5"/>
      <c r="F338" s="5"/>
      <c r="G338" s="5"/>
      <c r="Z338">
        <f t="shared" si="11"/>
        <v>1</v>
      </c>
    </row>
    <row r="339" spans="1:26" x14ac:dyDescent="0.25">
      <c r="A339" t="str">
        <f t="shared" si="10"/>
        <v>00 STATUS - PLAYING</v>
      </c>
      <c r="B339" t="s">
        <v>36</v>
      </c>
      <c r="D339" s="5"/>
      <c r="E339" s="5"/>
      <c r="F339" s="5"/>
      <c r="G339" s="5"/>
      <c r="Z339">
        <f t="shared" si="11"/>
        <v>0</v>
      </c>
    </row>
    <row r="340" spans="1:26" x14ac:dyDescent="0.25">
      <c r="A340" t="str">
        <f t="shared" si="10"/>
        <v>01 MASTER REQUEST - SLAVE POLL</v>
      </c>
      <c r="B340" t="s">
        <v>37</v>
      </c>
      <c r="D340" s="5"/>
      <c r="E340" s="5"/>
      <c r="F340" s="5"/>
      <c r="G340" s="5"/>
      <c r="Z340">
        <f t="shared" si="11"/>
        <v>1</v>
      </c>
    </row>
    <row r="341" spans="1:26" x14ac:dyDescent="0.25">
      <c r="A341" t="str">
        <f t="shared" si="10"/>
        <v>90 TIME- TRACK: 01, 01:01, DISC: 2</v>
      </c>
      <c r="B341" t="s">
        <v>84</v>
      </c>
      <c r="D341" s="5"/>
      <c r="E341" s="5"/>
      <c r="F341" s="5"/>
      <c r="G341" s="5"/>
      <c r="Z341">
        <f t="shared" si="11"/>
        <v>0</v>
      </c>
    </row>
    <row r="342" spans="1:26" x14ac:dyDescent="0.25">
      <c r="A342" t="str">
        <f t="shared" si="10"/>
        <v>84 REQUEST MORE TEXT FIELDS - SEND MAGAZINE INFO</v>
      </c>
      <c r="B342" t="s">
        <v>14</v>
      </c>
      <c r="D342" s="5"/>
      <c r="E342" s="5"/>
      <c r="F342" s="5"/>
      <c r="G342" s="5"/>
      <c r="Z342">
        <f t="shared" si="11"/>
        <v>1</v>
      </c>
    </row>
    <row r="343" spans="1:26" x14ac:dyDescent="0.25">
      <c r="A343" t="str">
        <f t="shared" si="10"/>
        <v>01 MASTER REQUEST - TIME POLL</v>
      </c>
      <c r="B343" t="s">
        <v>35</v>
      </c>
      <c r="D343" s="5"/>
      <c r="E343" s="5"/>
      <c r="F343" s="5"/>
      <c r="G343" s="5"/>
      <c r="Z343">
        <f t="shared" si="11"/>
        <v>0</v>
      </c>
    </row>
    <row r="344" spans="1:26" x14ac:dyDescent="0.25">
      <c r="A344" t="str">
        <f t="shared" si="10"/>
        <v>00 STATUS - PLAYING</v>
      </c>
      <c r="B344" t="s">
        <v>36</v>
      </c>
      <c r="D344" s="5"/>
      <c r="E344" s="5"/>
      <c r="F344" s="5"/>
      <c r="G344" s="5"/>
      <c r="Z344">
        <f t="shared" si="11"/>
        <v>0</v>
      </c>
    </row>
    <row r="345" spans="1:26" x14ac:dyDescent="0.25">
      <c r="A345" t="str">
        <f t="shared" si="10"/>
        <v>84 REQUEST MORE TEXT FIELDS - SEND DISC INFO</v>
      </c>
      <c r="B345" t="s">
        <v>17</v>
      </c>
      <c r="D345" s="5"/>
      <c r="E345" s="5"/>
      <c r="F345" s="5"/>
      <c r="G345" s="5"/>
      <c r="Z345">
        <f t="shared" si="11"/>
        <v>1</v>
      </c>
    </row>
    <row r="346" spans="1:26" x14ac:dyDescent="0.25">
      <c r="A346" t="str">
        <f t="shared" si="10"/>
        <v>01 MASTER REQUEST - SLAVE POLL</v>
      </c>
      <c r="B346" t="s">
        <v>37</v>
      </c>
      <c r="D346" s="5"/>
      <c r="E346" s="5"/>
      <c r="F346" s="5"/>
      <c r="G346" s="5"/>
      <c r="Z346">
        <f t="shared" si="11"/>
        <v>0</v>
      </c>
    </row>
    <row r="347" spans="1:26" x14ac:dyDescent="0.25">
      <c r="A347" t="str">
        <f t="shared" si="10"/>
        <v>95 MAGAZINE INFO - CD1 YES, CD2 YES, CD3 NO, CD4 NO, CD5 NO, CD6 NO</v>
      </c>
      <c r="B347" t="s">
        <v>38</v>
      </c>
      <c r="D347" s="5"/>
      <c r="E347" s="5"/>
      <c r="F347" s="5"/>
      <c r="G347" s="5"/>
      <c r="Z347">
        <f t="shared" si="11"/>
        <v>0</v>
      </c>
    </row>
    <row r="348" spans="1:26" x14ac:dyDescent="0.25">
      <c r="A348" t="str">
        <f t="shared" si="10"/>
        <v>01 MASTER REQUEST - SLAVE POLL</v>
      </c>
      <c r="B348" t="s">
        <v>37</v>
      </c>
      <c r="D348" s="5"/>
      <c r="E348" s="5"/>
      <c r="F348" s="5"/>
      <c r="G348" s="5"/>
      <c r="Z348">
        <f t="shared" si="11"/>
        <v>1</v>
      </c>
    </row>
    <row r="349" spans="1:26" x14ac:dyDescent="0.25">
      <c r="A349" t="str">
        <f t="shared" si="10"/>
        <v>97 DISC INFO - TRACKS: 69, MINS: 88, SECS: 00, DISC: 2</v>
      </c>
      <c r="B349" t="s">
        <v>39</v>
      </c>
      <c r="D349" s="5"/>
      <c r="E349" s="5"/>
      <c r="F349" s="5"/>
      <c r="G349" s="5"/>
      <c r="Z349">
        <f t="shared" si="11"/>
        <v>0</v>
      </c>
    </row>
    <row r="350" spans="1:26" x14ac:dyDescent="0.25">
      <c r="A350" t="str">
        <f t="shared" si="10"/>
        <v>B0 CHANGE TO DISC 2, TRACK 02</v>
      </c>
      <c r="B350" t="s">
        <v>44</v>
      </c>
      <c r="D350" s="5"/>
      <c r="E350" s="5"/>
      <c r="F350" s="5"/>
      <c r="G350" s="5"/>
      <c r="Z350">
        <f t="shared" si="11"/>
        <v>1</v>
      </c>
    </row>
    <row r="351" spans="1:26" x14ac:dyDescent="0.25">
      <c r="A351" t="str">
        <f t="shared" si="10"/>
        <v>01 MASTER REQUEST - SLAVE POLL</v>
      </c>
      <c r="B351" t="s">
        <v>37</v>
      </c>
      <c r="D351" s="5"/>
      <c r="E351" s="5"/>
      <c r="F351" s="5"/>
      <c r="G351" s="5"/>
      <c r="Z351">
        <f t="shared" si="11"/>
        <v>0</v>
      </c>
    </row>
    <row r="352" spans="1:26" x14ac:dyDescent="0.25">
      <c r="A352" t="str">
        <f t="shared" si="10"/>
        <v>C0 SEEKING TO - (NO PARITY2???) XCARLINK BUG, ALFA 166 ICS DOESN'T ALLOW 13 BYTE RESPONSES!</v>
      </c>
      <c r="B352" t="s">
        <v>45</v>
      </c>
      <c r="D352" s="5"/>
      <c r="E352" s="5"/>
      <c r="F352" s="5"/>
      <c r="G352" s="5"/>
      <c r="Z352">
        <f t="shared" si="11"/>
        <v>0</v>
      </c>
    </row>
    <row r="353" spans="1:26" x14ac:dyDescent="0.25">
      <c r="A353" t="str">
        <f t="shared" si="10"/>
        <v>84 REQUEST MORE TEXT FIELDS - SEND MAGAZINE INFO</v>
      </c>
      <c r="B353" t="s">
        <v>14</v>
      </c>
      <c r="D353" s="5"/>
      <c r="E353" s="5"/>
      <c r="F353" s="5"/>
      <c r="G353" s="5"/>
      <c r="Z353">
        <f t="shared" si="11"/>
        <v>1</v>
      </c>
    </row>
    <row r="354" spans="1:26" x14ac:dyDescent="0.25">
      <c r="A354" t="str">
        <f t="shared" si="10"/>
        <v>01 MASTER REQUEST - TIME POLL</v>
      </c>
      <c r="B354" t="s">
        <v>35</v>
      </c>
      <c r="D354" s="5"/>
      <c r="E354" s="5"/>
      <c r="F354" s="5"/>
      <c r="G354" s="5"/>
      <c r="Z354">
        <f t="shared" si="11"/>
        <v>0</v>
      </c>
    </row>
    <row r="355" spans="1:26" x14ac:dyDescent="0.25">
      <c r="A355" t="str">
        <f t="shared" si="10"/>
        <v>00 STATUS - PLAYING</v>
      </c>
      <c r="B355" t="s">
        <v>36</v>
      </c>
      <c r="D355" s="5"/>
      <c r="E355" s="5"/>
      <c r="F355" s="5"/>
      <c r="G355" s="5"/>
      <c r="Z355">
        <f t="shared" si="11"/>
        <v>0</v>
      </c>
    </row>
    <row r="356" spans="1:26" x14ac:dyDescent="0.25">
      <c r="A356" t="str">
        <f t="shared" si="10"/>
        <v>84 REQUEST MORE TEXT FIELDS - SEND DISC INFO</v>
      </c>
      <c r="B356" t="s">
        <v>17</v>
      </c>
      <c r="D356" s="5"/>
      <c r="E356" s="5"/>
      <c r="F356" s="5"/>
      <c r="G356" s="5"/>
      <c r="Z356">
        <f t="shared" si="11"/>
        <v>1</v>
      </c>
    </row>
    <row r="357" spans="1:26" x14ac:dyDescent="0.25">
      <c r="A357" t="str">
        <f t="shared" si="10"/>
        <v>01 MASTER REQUEST - SLAVE POLL</v>
      </c>
      <c r="B357" t="s">
        <v>37</v>
      </c>
      <c r="D357" s="5"/>
      <c r="E357" s="5"/>
      <c r="F357" s="5"/>
      <c r="G357" s="5"/>
      <c r="Z357">
        <f t="shared" si="11"/>
        <v>0</v>
      </c>
    </row>
    <row r="358" spans="1:26" x14ac:dyDescent="0.25">
      <c r="A358" t="str">
        <f t="shared" si="10"/>
        <v>95 MAGAZINE INFO - CD1 YES, CD2 YES, CD3 NO, CD4 NO, CD5 NO, CD6 NO</v>
      </c>
      <c r="B358" t="s">
        <v>38</v>
      </c>
      <c r="D358" s="5"/>
      <c r="E358" s="5"/>
      <c r="F358" s="5"/>
      <c r="G358" s="5"/>
      <c r="Z358">
        <f t="shared" si="11"/>
        <v>0</v>
      </c>
    </row>
    <row r="359" spans="1:26" x14ac:dyDescent="0.25">
      <c r="A359" t="str">
        <f t="shared" si="10"/>
        <v>01 MASTER REQUEST - SLAVE POLL</v>
      </c>
      <c r="B359" t="s">
        <v>37</v>
      </c>
      <c r="D359" s="5"/>
      <c r="E359" s="5"/>
      <c r="F359" s="5"/>
      <c r="G359" s="5"/>
      <c r="Z359">
        <f t="shared" si="11"/>
        <v>1</v>
      </c>
    </row>
    <row r="360" spans="1:26" x14ac:dyDescent="0.25">
      <c r="A360" t="str">
        <f t="shared" si="10"/>
        <v>97 DISC INFO - TRACKS: 69, MINS: 88, SECS: 00, DISC: 2</v>
      </c>
      <c r="B360" t="s">
        <v>39</v>
      </c>
      <c r="D360" s="5"/>
      <c r="E360" s="5"/>
      <c r="F360" s="5"/>
      <c r="G360" s="5"/>
      <c r="Z360">
        <f t="shared" si="11"/>
        <v>0</v>
      </c>
    </row>
    <row r="361" spans="1:26" x14ac:dyDescent="0.25">
      <c r="A361" t="str">
        <f t="shared" si="10"/>
        <v>01 MASTER REQUEST - SLAVE POLL</v>
      </c>
      <c r="B361" t="s">
        <v>37</v>
      </c>
      <c r="D361" s="5"/>
      <c r="E361" s="5"/>
      <c r="F361" s="5"/>
      <c r="G361" s="5"/>
      <c r="Z361">
        <f t="shared" si="11"/>
        <v>1</v>
      </c>
    </row>
    <row r="362" spans="1:26" x14ac:dyDescent="0.25">
      <c r="A362" t="str">
        <f t="shared" si="10"/>
        <v>90 TIME- TRACK: 02, 00:00, DISC: 2</v>
      </c>
      <c r="B362" t="s">
        <v>46</v>
      </c>
      <c r="D362" s="5"/>
      <c r="E362" s="5"/>
      <c r="F362" s="5"/>
      <c r="G362" s="5"/>
      <c r="Z362">
        <f t="shared" si="11"/>
        <v>0</v>
      </c>
    </row>
    <row r="363" spans="1:26" x14ac:dyDescent="0.25">
      <c r="A363" t="str">
        <f t="shared" si="10"/>
        <v>84 REQUEST MORE TEXT FIELDS - SEND MAGAZINE INFO</v>
      </c>
      <c r="B363" t="s">
        <v>14</v>
      </c>
      <c r="D363" s="5"/>
      <c r="E363" s="5"/>
      <c r="F363" s="5"/>
      <c r="G363" s="5"/>
      <c r="Z363">
        <f t="shared" si="11"/>
        <v>1</v>
      </c>
    </row>
    <row r="364" spans="1:26" x14ac:dyDescent="0.25">
      <c r="A364" t="str">
        <f t="shared" si="10"/>
        <v>01 MASTER REQUEST - TIME POLL</v>
      </c>
      <c r="B364" t="s">
        <v>35</v>
      </c>
      <c r="D364" s="5"/>
      <c r="E364" s="5"/>
      <c r="F364" s="5"/>
      <c r="G364" s="5"/>
      <c r="Z364">
        <f t="shared" si="11"/>
        <v>0</v>
      </c>
    </row>
    <row r="365" spans="1:26" x14ac:dyDescent="0.25">
      <c r="A365" t="str">
        <f t="shared" si="10"/>
        <v>00 STATUS - PLAYING</v>
      </c>
      <c r="B365" t="s">
        <v>36</v>
      </c>
      <c r="D365" s="5"/>
      <c r="E365" s="5"/>
      <c r="F365" s="5"/>
      <c r="G365" s="5"/>
      <c r="Z365">
        <f t="shared" si="11"/>
        <v>0</v>
      </c>
    </row>
    <row r="366" spans="1:26" x14ac:dyDescent="0.25">
      <c r="A366" t="str">
        <f t="shared" si="10"/>
        <v>84 REQUEST MORE TEXT FIELDS - SEND DISC INFO</v>
      </c>
      <c r="B366" t="s">
        <v>17</v>
      </c>
      <c r="D366" s="5"/>
      <c r="E366" s="5"/>
      <c r="F366" s="5"/>
      <c r="G366" s="5"/>
      <c r="Z366">
        <f t="shared" si="11"/>
        <v>1</v>
      </c>
    </row>
    <row r="367" spans="1:26" x14ac:dyDescent="0.25">
      <c r="A367" t="str">
        <f t="shared" si="10"/>
        <v>01 MASTER REQUEST - SLAVE POLL</v>
      </c>
      <c r="B367" t="s">
        <v>37</v>
      </c>
      <c r="D367" s="5"/>
      <c r="E367" s="5"/>
      <c r="F367" s="5"/>
      <c r="G367" s="5"/>
      <c r="Z367">
        <f t="shared" si="11"/>
        <v>0</v>
      </c>
    </row>
    <row r="368" spans="1:26" x14ac:dyDescent="0.25">
      <c r="A368" t="str">
        <f t="shared" si="10"/>
        <v>C0 SEEKING TO - (NO PARITY2???) XCARLINK BUG, ALFA 166 ICS DOESN'T ALLOW 13 BYTE RESPONSES!</v>
      </c>
      <c r="B368" t="s">
        <v>47</v>
      </c>
      <c r="D368" s="5"/>
      <c r="E368" s="5"/>
      <c r="F368" s="5"/>
      <c r="G368" s="5"/>
      <c r="Z368">
        <f t="shared" si="11"/>
        <v>0</v>
      </c>
    </row>
    <row r="369" spans="1:26" x14ac:dyDescent="0.25">
      <c r="A369" t="str">
        <f t="shared" si="10"/>
        <v>01 MASTER REQUEST - SLAVE POLL</v>
      </c>
      <c r="B369" t="s">
        <v>37</v>
      </c>
      <c r="D369" s="5"/>
      <c r="E369" s="5"/>
      <c r="F369" s="5"/>
      <c r="G369" s="5"/>
      <c r="Z369">
        <f t="shared" si="11"/>
        <v>1</v>
      </c>
    </row>
    <row r="370" spans="1:26" x14ac:dyDescent="0.25">
      <c r="A370" t="str">
        <f t="shared" si="10"/>
        <v>97 DISC INFO - TRACKS: 69, MINS: 88, SECS: 00, DISC: 2</v>
      </c>
      <c r="B370" t="s">
        <v>39</v>
      </c>
      <c r="D370" s="5"/>
      <c r="E370" s="5"/>
      <c r="F370" s="5"/>
      <c r="G370" s="5"/>
      <c r="Z370">
        <f t="shared" si="11"/>
        <v>0</v>
      </c>
    </row>
    <row r="371" spans="1:26" x14ac:dyDescent="0.25">
      <c r="A371" t="str">
        <f t="shared" si="10"/>
        <v>01 MASTER REQUEST - SLAVE POLL</v>
      </c>
      <c r="B371" t="s">
        <v>37</v>
      </c>
      <c r="D371" s="5"/>
      <c r="E371" s="5"/>
      <c r="F371" s="5"/>
      <c r="G371" s="5"/>
      <c r="Z371">
        <f t="shared" si="11"/>
        <v>1</v>
      </c>
    </row>
    <row r="372" spans="1:26" x14ac:dyDescent="0.25">
      <c r="A372" t="str">
        <f t="shared" si="10"/>
        <v>D5 DISC IDENTIFIER</v>
      </c>
      <c r="B372" t="s">
        <v>48</v>
      </c>
      <c r="D372" s="5"/>
      <c r="E372" s="5"/>
      <c r="F372" s="5"/>
      <c r="G372" s="5"/>
      <c r="Z372">
        <f t="shared" si="11"/>
        <v>0</v>
      </c>
    </row>
    <row r="373" spans="1:26" x14ac:dyDescent="0.25">
      <c r="A373" t="str">
        <f t="shared" si="10"/>
        <v>01 MASTER REQUEST - SLAVE POLL</v>
      </c>
      <c r="B373" t="s">
        <v>37</v>
      </c>
      <c r="D373" s="5"/>
      <c r="E373" s="5"/>
      <c r="F373" s="5"/>
      <c r="G373" s="5"/>
      <c r="Z373">
        <f t="shared" si="11"/>
        <v>1</v>
      </c>
    </row>
    <row r="374" spans="1:26" x14ac:dyDescent="0.25">
      <c r="A374" t="str">
        <f t="shared" si="10"/>
        <v>90 TIME- TRACK: 02, 00:00, DISC: 2</v>
      </c>
      <c r="B374" t="s">
        <v>46</v>
      </c>
      <c r="D374" s="5"/>
      <c r="E374" s="5"/>
      <c r="F374" s="5"/>
      <c r="G374" s="5"/>
      <c r="Z374">
        <f t="shared" si="11"/>
        <v>0</v>
      </c>
    </row>
    <row r="375" spans="1:26" x14ac:dyDescent="0.25">
      <c r="A375" t="str">
        <f t="shared" si="10"/>
        <v>01 MASTER REQUEST - SLAVE POLL</v>
      </c>
      <c r="B375" t="s">
        <v>37</v>
      </c>
      <c r="D375" s="5"/>
      <c r="E375" s="5"/>
      <c r="F375" s="5"/>
      <c r="G375" s="5"/>
      <c r="Z375">
        <f t="shared" si="11"/>
        <v>1</v>
      </c>
    </row>
    <row r="376" spans="1:26" x14ac:dyDescent="0.25">
      <c r="A376" t="str">
        <f t="shared" si="10"/>
        <v>90 TIME- TRACK: 02, 00:01, DISC: 2</v>
      </c>
      <c r="B376" t="s">
        <v>49</v>
      </c>
      <c r="D376" s="5"/>
      <c r="E376" s="5"/>
      <c r="F376" s="5"/>
      <c r="G376" s="5"/>
      <c r="Z376">
        <f t="shared" si="11"/>
        <v>0</v>
      </c>
    </row>
    <row r="377" spans="1:26" x14ac:dyDescent="0.25">
      <c r="A377" t="str">
        <f t="shared" si="10"/>
        <v>84 REQUEST MORE TEXT FIELDS - SEND MAGAZINE INFO</v>
      </c>
      <c r="B377" t="s">
        <v>14</v>
      </c>
      <c r="D377" s="5"/>
      <c r="E377" s="5"/>
      <c r="F377" s="5"/>
      <c r="G377" s="5"/>
      <c r="Z377">
        <f t="shared" si="11"/>
        <v>1</v>
      </c>
    </row>
    <row r="378" spans="1:26" x14ac:dyDescent="0.25">
      <c r="A378" t="str">
        <f t="shared" si="10"/>
        <v>01 MASTER REQUEST - TIME POLL</v>
      </c>
      <c r="B378" t="s">
        <v>35</v>
      </c>
      <c r="D378" s="5"/>
      <c r="E378" s="5"/>
      <c r="F378" s="5"/>
      <c r="G378" s="5"/>
      <c r="Z378">
        <f t="shared" si="11"/>
        <v>0</v>
      </c>
    </row>
    <row r="379" spans="1:26" x14ac:dyDescent="0.25">
      <c r="A379" t="str">
        <f t="shared" si="10"/>
        <v>00 STATUS - PLAYING</v>
      </c>
      <c r="B379" t="s">
        <v>36</v>
      </c>
      <c r="D379" s="5"/>
      <c r="E379" s="5"/>
      <c r="F379" s="5"/>
      <c r="G379" s="5"/>
      <c r="Z379">
        <f t="shared" si="11"/>
        <v>0</v>
      </c>
    </row>
    <row r="380" spans="1:26" x14ac:dyDescent="0.25">
      <c r="A380" t="str">
        <f t="shared" si="10"/>
        <v>84 REQUEST MORE TEXT FIELDS - SEND DISC INFO</v>
      </c>
      <c r="B380" t="s">
        <v>17</v>
      </c>
      <c r="D380" s="5"/>
      <c r="E380" s="5"/>
      <c r="F380" s="5"/>
      <c r="G380" s="5"/>
      <c r="Z380">
        <f t="shared" si="11"/>
        <v>1</v>
      </c>
    </row>
    <row r="381" spans="1:26" x14ac:dyDescent="0.25">
      <c r="A381" t="str">
        <f t="shared" si="10"/>
        <v>01 MASTER REQUEST - SLAVE POLL</v>
      </c>
      <c r="B381" t="s">
        <v>37</v>
      </c>
      <c r="D381" s="5"/>
      <c r="E381" s="5"/>
      <c r="F381" s="5"/>
      <c r="G381" s="5"/>
      <c r="Z381">
        <f t="shared" si="11"/>
        <v>0</v>
      </c>
    </row>
    <row r="382" spans="1:26" x14ac:dyDescent="0.25">
      <c r="A382" t="str">
        <f t="shared" si="10"/>
        <v>95 MAGAZINE INFO - CD1 YES, CD2 YES, CD3 NO, CD4 NO, CD5 NO, CD6 NO</v>
      </c>
      <c r="B382" t="s">
        <v>38</v>
      </c>
      <c r="D382" s="5"/>
      <c r="E382" s="5"/>
      <c r="F382" s="5"/>
      <c r="G382" s="5"/>
      <c r="Z382">
        <f t="shared" si="11"/>
        <v>0</v>
      </c>
    </row>
    <row r="383" spans="1:26" x14ac:dyDescent="0.25">
      <c r="A383" t="str">
        <f t="shared" si="10"/>
        <v>01 MASTER REQUEST - SLAVE POLL</v>
      </c>
      <c r="B383" t="s">
        <v>37</v>
      </c>
      <c r="D383" s="5"/>
      <c r="E383" s="5"/>
      <c r="F383" s="5"/>
      <c r="G383" s="5"/>
      <c r="Z383">
        <f t="shared" si="11"/>
        <v>1</v>
      </c>
    </row>
    <row r="384" spans="1:26" x14ac:dyDescent="0.25">
      <c r="A384" t="str">
        <f t="shared" si="10"/>
        <v>97 DISC INFO - TRACKS: 69, MINS: 88, SECS: 00, DISC: 2</v>
      </c>
      <c r="B384" t="s">
        <v>39</v>
      </c>
      <c r="D384" s="5"/>
      <c r="E384" s="5"/>
      <c r="F384" s="5"/>
      <c r="G384" s="5"/>
      <c r="Z384">
        <f t="shared" si="11"/>
        <v>0</v>
      </c>
    </row>
    <row r="385" spans="1:26" x14ac:dyDescent="0.25">
      <c r="A385" t="str">
        <f t="shared" si="10"/>
        <v>01 MASTER REQUEST - SLAVE POLL</v>
      </c>
      <c r="B385" t="s">
        <v>37</v>
      </c>
      <c r="D385" s="5"/>
      <c r="E385" s="5"/>
      <c r="F385" s="5"/>
      <c r="G385" s="5"/>
      <c r="Z385">
        <f t="shared" si="11"/>
        <v>1</v>
      </c>
    </row>
    <row r="386" spans="1:26" x14ac:dyDescent="0.25">
      <c r="A386" t="str">
        <f t="shared" si="10"/>
        <v>90 TIME- TRACK: 02, 00:02, DISC: 2</v>
      </c>
      <c r="B386" t="s">
        <v>50</v>
      </c>
      <c r="D386" s="5"/>
      <c r="E386" s="5"/>
      <c r="F386" s="5"/>
      <c r="G386" s="5"/>
      <c r="Z386">
        <f t="shared" si="11"/>
        <v>0</v>
      </c>
    </row>
    <row r="387" spans="1:26" x14ac:dyDescent="0.25">
      <c r="A387" t="str">
        <f t="shared" ref="A387:A450" si="12">ParseUnilink(B387)</f>
        <v>01 MASTER REQUEST - SLAVE POLL</v>
      </c>
      <c r="B387" t="s">
        <v>37</v>
      </c>
      <c r="D387" s="5"/>
      <c r="E387" s="5"/>
      <c r="F387" s="5"/>
      <c r="G387" s="5"/>
      <c r="Z387">
        <f t="shared" ref="Z387:Z450" si="13">IF(    ISNUMBER(SEARCH("10 30",B386,1))  +  ISNUMBER(SEARCH("10 31",B386,1))  +  ISNUMBER(SEARCH("70 30",B386,1))  +  ISNUMBER(SEARCH("70 31",B386,1))  +  ISNUMBER(SEARCH("77 30",B386,1))  +  ISNUMBER(SEARCH("77 31",B386,1)),1,0)</f>
        <v>1</v>
      </c>
    </row>
    <row r="388" spans="1:26" x14ac:dyDescent="0.25">
      <c r="A388" t="str">
        <f t="shared" si="12"/>
        <v>00 STATUS - PLAYING</v>
      </c>
      <c r="B388" t="s">
        <v>36</v>
      </c>
      <c r="D388" s="5"/>
      <c r="E388" s="5"/>
      <c r="F388" s="5"/>
      <c r="G388" s="5"/>
      <c r="Z388">
        <f t="shared" si="13"/>
        <v>0</v>
      </c>
    </row>
    <row r="389" spans="1:26" x14ac:dyDescent="0.25">
      <c r="A389" t="str">
        <f t="shared" si="12"/>
        <v>24 FAST FORWARD (FROM MASTER)</v>
      </c>
      <c r="B389" t="s">
        <v>72</v>
      </c>
      <c r="D389" s="5"/>
      <c r="E389" s="5"/>
      <c r="F389" s="5"/>
      <c r="G389" s="5"/>
      <c r="Z389">
        <f t="shared" si="13"/>
        <v>1</v>
      </c>
    </row>
    <row r="390" spans="1:26" x14ac:dyDescent="0.25">
      <c r="A390" t="str">
        <f t="shared" si="12"/>
        <v>84 REQUEST MORE TEXT FIELDS - SEND MAGAZINE INFO</v>
      </c>
      <c r="B390" t="s">
        <v>14</v>
      </c>
      <c r="D390" s="5"/>
      <c r="E390" s="5"/>
      <c r="F390" s="5"/>
      <c r="G390" s="5"/>
      <c r="Z390">
        <f t="shared" si="13"/>
        <v>0</v>
      </c>
    </row>
    <row r="391" spans="1:26" x14ac:dyDescent="0.25">
      <c r="A391" t="str">
        <f t="shared" si="12"/>
        <v>01 MASTER REQUEST - TIME POLL</v>
      </c>
      <c r="B391" t="s">
        <v>35</v>
      </c>
      <c r="D391" s="5"/>
      <c r="E391" s="5"/>
      <c r="F391" s="5"/>
      <c r="G391" s="5"/>
      <c r="Z391">
        <f t="shared" si="13"/>
        <v>0</v>
      </c>
    </row>
    <row r="392" spans="1:26" x14ac:dyDescent="0.25">
      <c r="A392" t="str">
        <f t="shared" si="12"/>
        <v>00 STATUS - PLAYING</v>
      </c>
      <c r="B392" t="s">
        <v>36</v>
      </c>
      <c r="D392" s="5"/>
      <c r="E392" s="5"/>
      <c r="F392" s="5"/>
      <c r="G392" s="5"/>
      <c r="Z392">
        <f t="shared" si="13"/>
        <v>0</v>
      </c>
    </row>
    <row r="393" spans="1:26" x14ac:dyDescent="0.25">
      <c r="A393" t="str">
        <f t="shared" si="12"/>
        <v>84 REQUEST MORE TEXT FIELDS - SEND DISC INFO</v>
      </c>
      <c r="B393" t="s">
        <v>17</v>
      </c>
      <c r="D393" s="5"/>
      <c r="E393" s="5"/>
      <c r="F393" s="5"/>
      <c r="G393" s="5"/>
      <c r="Z393">
        <f t="shared" si="13"/>
        <v>1</v>
      </c>
    </row>
    <row r="394" spans="1:26" x14ac:dyDescent="0.25">
      <c r="A394" t="str">
        <f t="shared" si="12"/>
        <v>01 MASTER REQUEST - SLAVE POLL</v>
      </c>
      <c r="B394" t="s">
        <v>37</v>
      </c>
      <c r="D394" s="5"/>
      <c r="E394" s="5"/>
      <c r="F394" s="5"/>
      <c r="G394" s="5"/>
      <c r="Z394">
        <f t="shared" si="13"/>
        <v>0</v>
      </c>
    </row>
    <row r="395" spans="1:26" x14ac:dyDescent="0.25">
      <c r="A395" t="str">
        <f t="shared" si="12"/>
        <v>C0 SEEKING TO - (NO PARITY2???) XCARLINK BUG, ALFA 166 ICS DOESN'T ALLOW 13 BYTE RESPONSES!</v>
      </c>
      <c r="B395" t="s">
        <v>85</v>
      </c>
      <c r="D395" s="5"/>
      <c r="E395" s="5"/>
      <c r="F395" s="5"/>
      <c r="G395" s="5"/>
      <c r="Z395">
        <f t="shared" si="13"/>
        <v>0</v>
      </c>
    </row>
    <row r="396" spans="1:26" x14ac:dyDescent="0.25">
      <c r="A396" t="str">
        <f t="shared" si="12"/>
        <v>01 MASTER REQUEST - SLAVE POLL</v>
      </c>
      <c r="B396" t="s">
        <v>37</v>
      </c>
      <c r="D396" s="5"/>
      <c r="E396" s="5"/>
      <c r="F396" s="5"/>
      <c r="G396" s="5"/>
      <c r="Z396">
        <f t="shared" si="13"/>
        <v>1</v>
      </c>
    </row>
    <row r="397" spans="1:26" x14ac:dyDescent="0.25">
      <c r="A397" t="str">
        <f t="shared" si="12"/>
        <v>95 MAGAZINE INFO - CD1 YES, CD2 YES, CD3 NO, CD4 NO, CD5 NO, CD6 NO</v>
      </c>
      <c r="B397" t="s">
        <v>38</v>
      </c>
      <c r="D397" s="5"/>
      <c r="E397" s="5"/>
      <c r="F397" s="5"/>
      <c r="G397" s="5"/>
      <c r="Z397">
        <f t="shared" si="13"/>
        <v>0</v>
      </c>
    </row>
    <row r="398" spans="1:26" x14ac:dyDescent="0.25">
      <c r="A398" t="str">
        <f t="shared" si="12"/>
        <v>01 MASTER REQUEST - SLAVE POLL</v>
      </c>
      <c r="B398" t="s">
        <v>37</v>
      </c>
      <c r="D398" s="5"/>
      <c r="E398" s="5"/>
      <c r="F398" s="5"/>
      <c r="G398" s="5"/>
      <c r="Z398">
        <f t="shared" si="13"/>
        <v>1</v>
      </c>
    </row>
    <row r="399" spans="1:26" x14ac:dyDescent="0.25">
      <c r="A399" t="str">
        <f t="shared" si="12"/>
        <v>97 DISC INFO - TRACKS: 69, MINS: 88, SECS: 00, DISC: 2</v>
      </c>
      <c r="B399" t="s">
        <v>39</v>
      </c>
      <c r="D399" s="5"/>
      <c r="E399" s="5"/>
      <c r="F399" s="5"/>
      <c r="G399" s="5"/>
      <c r="Z399">
        <f t="shared" si="13"/>
        <v>0</v>
      </c>
    </row>
    <row r="400" spans="1:26" x14ac:dyDescent="0.25">
      <c r="A400" t="str">
        <f t="shared" si="12"/>
        <v>01 MASTER REQUEST - SLAVE POLL</v>
      </c>
      <c r="B400" t="s">
        <v>37</v>
      </c>
      <c r="D400" s="5"/>
      <c r="E400" s="5"/>
      <c r="F400" s="5"/>
      <c r="G400" s="5"/>
      <c r="Z400">
        <f t="shared" si="13"/>
        <v>1</v>
      </c>
    </row>
    <row r="401" spans="1:26" x14ac:dyDescent="0.25">
      <c r="A401" t="str">
        <f t="shared" si="12"/>
        <v>00 STATUS - ???</v>
      </c>
      <c r="B401" t="s">
        <v>74</v>
      </c>
      <c r="D401" s="5"/>
      <c r="E401" s="5"/>
      <c r="F401" s="5"/>
      <c r="G401" s="5"/>
      <c r="Z401">
        <f t="shared" si="13"/>
        <v>0</v>
      </c>
    </row>
    <row r="402" spans="1:26" x14ac:dyDescent="0.25">
      <c r="A402" t="str">
        <f t="shared" si="12"/>
        <v>01 MASTER REQUEST - SLAVE POLL</v>
      </c>
      <c r="B402" t="s">
        <v>37</v>
      </c>
      <c r="D402" s="5"/>
      <c r="E402" s="5"/>
      <c r="F402" s="5"/>
      <c r="G402" s="5"/>
      <c r="Z402">
        <f t="shared" si="13"/>
        <v>1</v>
      </c>
    </row>
    <row r="403" spans="1:26" x14ac:dyDescent="0.25">
      <c r="A403" t="str">
        <f t="shared" si="12"/>
        <v>90 TIME- TRACK: 02, 00:07, DISC: 2</v>
      </c>
      <c r="B403" t="s">
        <v>86</v>
      </c>
      <c r="D403" s="5"/>
      <c r="E403" s="5"/>
      <c r="F403" s="5"/>
      <c r="G403" s="5"/>
      <c r="Z403">
        <f t="shared" si="13"/>
        <v>0</v>
      </c>
    </row>
    <row r="404" spans="1:26" x14ac:dyDescent="0.25">
      <c r="A404" t="str">
        <f t="shared" si="12"/>
        <v>01 MASTER REQUEST - SLAVE POLL</v>
      </c>
      <c r="B404" t="s">
        <v>37</v>
      </c>
      <c r="D404" s="5"/>
      <c r="E404" s="5"/>
      <c r="F404" s="5"/>
      <c r="G404" s="5"/>
      <c r="Z404">
        <f t="shared" si="13"/>
        <v>1</v>
      </c>
    </row>
    <row r="405" spans="1:26" x14ac:dyDescent="0.25">
      <c r="A405" t="str">
        <f t="shared" si="12"/>
        <v>90 TIME- TRACK: 02, 00:16, DISC: 2</v>
      </c>
      <c r="B405" t="s">
        <v>87</v>
      </c>
      <c r="D405" s="5"/>
      <c r="E405" s="5"/>
      <c r="F405" s="5"/>
      <c r="G405" s="5"/>
      <c r="Z405">
        <f t="shared" si="13"/>
        <v>0</v>
      </c>
    </row>
    <row r="406" spans="1:26" x14ac:dyDescent="0.25">
      <c r="A406" t="str">
        <f t="shared" si="12"/>
        <v>01 MASTER REQUEST - SLAVE POLL</v>
      </c>
      <c r="B406" t="s">
        <v>37</v>
      </c>
      <c r="D406" s="5"/>
      <c r="E406" s="5"/>
      <c r="F406" s="5"/>
      <c r="G406" s="5"/>
      <c r="Z406">
        <f t="shared" si="13"/>
        <v>1</v>
      </c>
    </row>
    <row r="407" spans="1:26" x14ac:dyDescent="0.25">
      <c r="A407" t="str">
        <f t="shared" si="12"/>
        <v>00 STATUS - ???</v>
      </c>
      <c r="B407" t="s">
        <v>74</v>
      </c>
      <c r="D407" s="5"/>
      <c r="E407" s="5"/>
      <c r="F407" s="5"/>
      <c r="G407" s="5"/>
      <c r="Z407">
        <f t="shared" si="13"/>
        <v>0</v>
      </c>
    </row>
    <row r="408" spans="1:26" x14ac:dyDescent="0.25">
      <c r="A408" t="str">
        <f t="shared" si="12"/>
        <v>84 REQUEST MORE TEXT FIELDS - SEND MAGAZINE INFO</v>
      </c>
      <c r="B408" t="s">
        <v>14</v>
      </c>
      <c r="D408" s="5"/>
      <c r="E408" s="5"/>
      <c r="F408" s="5"/>
      <c r="G408" s="5"/>
      <c r="Z408">
        <f t="shared" si="13"/>
        <v>1</v>
      </c>
    </row>
    <row r="409" spans="1:26" x14ac:dyDescent="0.25">
      <c r="A409" t="str">
        <f t="shared" si="12"/>
        <v>01 MASTER REQUEST - TIME POLL</v>
      </c>
      <c r="B409" t="s">
        <v>35</v>
      </c>
      <c r="D409" s="5"/>
      <c r="E409" s="5"/>
      <c r="F409" s="5"/>
      <c r="G409" s="5"/>
      <c r="Z409">
        <f t="shared" si="13"/>
        <v>0</v>
      </c>
    </row>
    <row r="410" spans="1:26" x14ac:dyDescent="0.25">
      <c r="A410" t="str">
        <f t="shared" si="12"/>
        <v>00 STATUS - PLAYING</v>
      </c>
      <c r="B410" t="s">
        <v>36</v>
      </c>
      <c r="D410" s="5"/>
      <c r="E410" s="5"/>
      <c r="F410" s="5"/>
      <c r="G410" s="5"/>
      <c r="Z410">
        <f t="shared" si="13"/>
        <v>0</v>
      </c>
    </row>
    <row r="411" spans="1:26" x14ac:dyDescent="0.25">
      <c r="A411" t="str">
        <f t="shared" si="12"/>
        <v>84 REQUEST MORE TEXT FIELDS - SEND DISC INFO</v>
      </c>
      <c r="B411" t="s">
        <v>17</v>
      </c>
      <c r="D411" s="5"/>
      <c r="E411" s="5"/>
      <c r="F411" s="5"/>
      <c r="G411" s="5"/>
      <c r="Z411">
        <f t="shared" si="13"/>
        <v>1</v>
      </c>
    </row>
    <row r="412" spans="1:26" x14ac:dyDescent="0.25">
      <c r="A412" t="str">
        <f t="shared" si="12"/>
        <v>01 MASTER REQUEST - SLAVE POLL</v>
      </c>
      <c r="B412" t="s">
        <v>37</v>
      </c>
      <c r="D412" s="5"/>
      <c r="E412" s="5"/>
      <c r="F412" s="5"/>
      <c r="G412" s="5"/>
      <c r="Z412">
        <f t="shared" si="13"/>
        <v>0</v>
      </c>
    </row>
    <row r="413" spans="1:26" x14ac:dyDescent="0.25">
      <c r="A413" t="str">
        <f t="shared" si="12"/>
        <v>95 MAGAZINE INFO - CD1 YES, CD2 YES, CD3 NO, CD4 NO, CD5 NO, CD6 NO</v>
      </c>
      <c r="B413" t="s">
        <v>38</v>
      </c>
      <c r="D413" s="5"/>
      <c r="E413" s="5"/>
      <c r="F413" s="5"/>
      <c r="G413" s="5"/>
      <c r="Z413">
        <f t="shared" si="13"/>
        <v>0</v>
      </c>
    </row>
    <row r="414" spans="1:26" x14ac:dyDescent="0.25">
      <c r="A414" t="str">
        <f t="shared" si="12"/>
        <v>01 MASTER REQUEST - SLAVE POLL</v>
      </c>
      <c r="B414" t="s">
        <v>37</v>
      </c>
      <c r="D414" s="5"/>
      <c r="E414" s="5"/>
      <c r="F414" s="5"/>
      <c r="G414" s="5"/>
      <c r="Z414">
        <f t="shared" si="13"/>
        <v>1</v>
      </c>
    </row>
    <row r="415" spans="1:26" x14ac:dyDescent="0.25">
      <c r="A415" t="str">
        <f t="shared" si="12"/>
        <v>97 DISC INFO - TRACKS: 69, MINS: 88, SECS: 00, DISC: 2</v>
      </c>
      <c r="B415" t="s">
        <v>39</v>
      </c>
      <c r="D415" s="5"/>
      <c r="E415" s="5"/>
      <c r="F415" s="5"/>
      <c r="G415" s="5"/>
      <c r="Z415">
        <f t="shared" si="13"/>
        <v>0</v>
      </c>
    </row>
    <row r="416" spans="1:26" x14ac:dyDescent="0.25">
      <c r="A416" t="str">
        <f t="shared" si="12"/>
        <v>01 MASTER REQUEST - SLAVE POLL</v>
      </c>
      <c r="B416" t="s">
        <v>37</v>
      </c>
      <c r="D416" s="5"/>
      <c r="E416" s="5"/>
      <c r="F416" s="5"/>
      <c r="G416" s="5"/>
      <c r="Z416">
        <f t="shared" si="13"/>
        <v>1</v>
      </c>
    </row>
    <row r="417" spans="1:26" x14ac:dyDescent="0.25">
      <c r="A417" t="str">
        <f t="shared" si="12"/>
        <v>90 TIME- TRACK: 02, 00:26, DISC: 2</v>
      </c>
      <c r="B417" t="s">
        <v>88</v>
      </c>
      <c r="D417" s="5"/>
      <c r="E417" s="5"/>
      <c r="F417" s="5"/>
      <c r="G417" s="5"/>
      <c r="Z417">
        <f t="shared" si="13"/>
        <v>0</v>
      </c>
    </row>
    <row r="418" spans="1:26" x14ac:dyDescent="0.25">
      <c r="A418" t="str">
        <f t="shared" si="12"/>
        <v>01 MASTER REQUEST - SLAVE POLL</v>
      </c>
      <c r="B418" t="s">
        <v>37</v>
      </c>
      <c r="D418" s="5"/>
      <c r="E418" s="5"/>
      <c r="F418" s="5"/>
      <c r="G418" s="5"/>
      <c r="Z418">
        <f t="shared" si="13"/>
        <v>1</v>
      </c>
    </row>
    <row r="419" spans="1:26" x14ac:dyDescent="0.25">
      <c r="A419" t="str">
        <f t="shared" si="12"/>
        <v>00 STATUS - ???</v>
      </c>
      <c r="B419" t="s">
        <v>74</v>
      </c>
      <c r="D419" s="5"/>
      <c r="E419" s="5"/>
      <c r="F419" s="5"/>
      <c r="G419" s="5"/>
      <c r="Z419">
        <f t="shared" si="13"/>
        <v>0</v>
      </c>
    </row>
    <row r="420" spans="1:26" x14ac:dyDescent="0.25">
      <c r="A420" t="str">
        <f t="shared" si="12"/>
        <v>21 SWITCH TO - ???</v>
      </c>
      <c r="B420" t="s">
        <v>81</v>
      </c>
      <c r="D420" s="5"/>
      <c r="E420" s="5"/>
      <c r="F420" s="5"/>
      <c r="G420" s="5"/>
      <c r="Z420">
        <f t="shared" si="13"/>
        <v>1</v>
      </c>
    </row>
    <row r="421" spans="1:26" x14ac:dyDescent="0.25">
      <c r="A421" t="str">
        <f t="shared" si="12"/>
        <v>01 MASTER REQUEST - SLAVE POLL</v>
      </c>
      <c r="B421" t="s">
        <v>37</v>
      </c>
      <c r="D421" s="5"/>
      <c r="E421" s="5"/>
      <c r="F421" s="5"/>
      <c r="G421" s="5"/>
      <c r="Z421">
        <f t="shared" si="13"/>
        <v>0</v>
      </c>
    </row>
    <row r="422" spans="1:26" x14ac:dyDescent="0.25">
      <c r="A422" t="str">
        <f t="shared" si="12"/>
        <v>90 TIME- TRACK: 02, 00:35, DISC: 2</v>
      </c>
      <c r="B422" t="s">
        <v>89</v>
      </c>
      <c r="D422" s="5"/>
      <c r="E422" s="5"/>
      <c r="F422" s="5"/>
      <c r="G422" s="5"/>
      <c r="Z422">
        <f t="shared" si="13"/>
        <v>0</v>
      </c>
    </row>
    <row r="423" spans="1:26" x14ac:dyDescent="0.25">
      <c r="A423" t="str">
        <f t="shared" si="12"/>
        <v>01 MASTER REQUEST - SLAVE POLL</v>
      </c>
      <c r="B423" t="s">
        <v>37</v>
      </c>
      <c r="D423" s="5"/>
      <c r="E423" s="5"/>
      <c r="F423" s="5"/>
      <c r="G423" s="5"/>
      <c r="Z423">
        <f t="shared" si="13"/>
        <v>1</v>
      </c>
    </row>
    <row r="424" spans="1:26" x14ac:dyDescent="0.25">
      <c r="A424" t="str">
        <f t="shared" si="12"/>
        <v>00 STATUS - PLAYING</v>
      </c>
      <c r="B424" t="s">
        <v>36</v>
      </c>
      <c r="D424" s="5"/>
      <c r="E424" s="5"/>
      <c r="F424" s="5"/>
      <c r="G424" s="5"/>
      <c r="Z424">
        <f t="shared" si="13"/>
        <v>0</v>
      </c>
    </row>
    <row r="425" spans="1:26" x14ac:dyDescent="0.25">
      <c r="A425" t="str">
        <f t="shared" si="12"/>
        <v>84 REQUEST MORE TEXT FIELDS - SEND MAGAZINE INFO</v>
      </c>
      <c r="B425" t="s">
        <v>14</v>
      </c>
      <c r="D425" s="5"/>
      <c r="E425" s="5"/>
      <c r="F425" s="5"/>
      <c r="G425" s="5"/>
      <c r="Z425">
        <f t="shared" si="13"/>
        <v>1</v>
      </c>
    </row>
    <row r="426" spans="1:26" x14ac:dyDescent="0.25">
      <c r="A426" t="str">
        <f t="shared" si="12"/>
        <v>01 MASTER REQUEST - TIME POLL</v>
      </c>
      <c r="B426" t="s">
        <v>35</v>
      </c>
      <c r="D426" s="5"/>
      <c r="E426" s="5"/>
      <c r="F426" s="5"/>
      <c r="G426" s="5"/>
      <c r="Z426">
        <f t="shared" si="13"/>
        <v>0</v>
      </c>
    </row>
    <row r="427" spans="1:26" x14ac:dyDescent="0.25">
      <c r="A427" t="str">
        <f t="shared" si="12"/>
        <v>00 STATUS - PLAYING</v>
      </c>
      <c r="B427" t="s">
        <v>36</v>
      </c>
      <c r="D427" s="5"/>
      <c r="E427" s="5"/>
      <c r="F427" s="5"/>
      <c r="G427" s="5"/>
      <c r="Z427">
        <f t="shared" si="13"/>
        <v>0</v>
      </c>
    </row>
    <row r="428" spans="1:26" x14ac:dyDescent="0.25">
      <c r="A428" t="str">
        <f t="shared" si="12"/>
        <v>84 REQUEST MORE TEXT FIELDS - SEND DISC INFO</v>
      </c>
      <c r="B428" t="s">
        <v>17</v>
      </c>
      <c r="D428" s="5"/>
      <c r="E428" s="5"/>
      <c r="F428" s="5"/>
      <c r="G428" s="5"/>
      <c r="Z428">
        <f t="shared" si="13"/>
        <v>1</v>
      </c>
    </row>
    <row r="429" spans="1:26" x14ac:dyDescent="0.25">
      <c r="A429" t="str">
        <f t="shared" si="12"/>
        <v>01 MASTER REQUEST - SLAVE POLL</v>
      </c>
      <c r="B429" t="s">
        <v>37</v>
      </c>
      <c r="D429" s="5"/>
      <c r="E429" s="5"/>
      <c r="F429" s="5"/>
      <c r="G429" s="5"/>
      <c r="Z429">
        <f t="shared" si="13"/>
        <v>0</v>
      </c>
    </row>
    <row r="430" spans="1:26" x14ac:dyDescent="0.25">
      <c r="A430" t="str">
        <f t="shared" si="12"/>
        <v>95 MAGAZINE INFO - CD1 YES, CD2 YES, CD3 NO, CD4 NO, CD5 NO, CD6 NO</v>
      </c>
      <c r="B430" t="s">
        <v>38</v>
      </c>
      <c r="D430" s="5"/>
      <c r="E430" s="5"/>
      <c r="F430" s="5"/>
      <c r="G430" s="5"/>
      <c r="Z430">
        <f t="shared" si="13"/>
        <v>0</v>
      </c>
    </row>
    <row r="431" spans="1:26" x14ac:dyDescent="0.25">
      <c r="A431" t="str">
        <f t="shared" si="12"/>
        <v>01 MASTER REQUEST - SLAVE POLL</v>
      </c>
      <c r="B431" t="s">
        <v>37</v>
      </c>
      <c r="D431" s="5"/>
      <c r="E431" s="5"/>
      <c r="F431" s="5"/>
      <c r="G431" s="5"/>
      <c r="Z431">
        <f t="shared" si="13"/>
        <v>1</v>
      </c>
    </row>
    <row r="432" spans="1:26" x14ac:dyDescent="0.25">
      <c r="A432" t="str">
        <f t="shared" si="12"/>
        <v>97 DISC INFO - TRACKS: 69, MINS: 88, SECS: 00, DISC: 2</v>
      </c>
      <c r="B432" t="s">
        <v>39</v>
      </c>
      <c r="D432" s="5"/>
      <c r="E432" s="5"/>
      <c r="F432" s="5"/>
      <c r="G432" s="5"/>
      <c r="Z432">
        <f t="shared" si="13"/>
        <v>0</v>
      </c>
    </row>
    <row r="433" spans="1:26" x14ac:dyDescent="0.25">
      <c r="A433" t="str">
        <f t="shared" si="12"/>
        <v>01 MASTER REQUEST - SLAVE POLL</v>
      </c>
      <c r="B433" t="s">
        <v>37</v>
      </c>
      <c r="D433" s="5"/>
      <c r="E433" s="5"/>
      <c r="F433" s="5"/>
      <c r="G433" s="5"/>
      <c r="Z433">
        <f t="shared" si="13"/>
        <v>1</v>
      </c>
    </row>
    <row r="434" spans="1:26" x14ac:dyDescent="0.25">
      <c r="A434" t="str">
        <f t="shared" si="12"/>
        <v>00 STATUS - PLAYING</v>
      </c>
      <c r="B434" t="s">
        <v>36</v>
      </c>
      <c r="D434" s="5"/>
      <c r="E434" s="5"/>
      <c r="F434" s="5"/>
      <c r="G434" s="5"/>
      <c r="Z434">
        <f t="shared" si="13"/>
        <v>0</v>
      </c>
    </row>
    <row r="435" spans="1:26" x14ac:dyDescent="0.25">
      <c r="A435" t="str">
        <f t="shared" si="12"/>
        <v>01 MASTER REQUEST - SLAVE POLL</v>
      </c>
      <c r="B435" t="s">
        <v>37</v>
      </c>
      <c r="D435" s="5"/>
      <c r="E435" s="5"/>
      <c r="F435" s="5"/>
      <c r="G435" s="5"/>
      <c r="Z435">
        <f t="shared" si="13"/>
        <v>1</v>
      </c>
    </row>
    <row r="436" spans="1:26" x14ac:dyDescent="0.25">
      <c r="A436" t="str">
        <f t="shared" si="12"/>
        <v>90 TIME- TRACK: 02, 00:36, DISC: 2</v>
      </c>
      <c r="B436" t="s">
        <v>90</v>
      </c>
      <c r="D436" s="5"/>
      <c r="E436" s="5"/>
      <c r="F436" s="5"/>
      <c r="G436" s="5"/>
      <c r="Z436">
        <f t="shared" si="13"/>
        <v>0</v>
      </c>
    </row>
    <row r="437" spans="1:26" x14ac:dyDescent="0.25">
      <c r="A437" t="str">
        <f t="shared" si="12"/>
        <v>01 MASTER REQUEST - SLAVE POLL</v>
      </c>
      <c r="B437" t="s">
        <v>37</v>
      </c>
      <c r="D437" s="5"/>
      <c r="E437" s="5"/>
      <c r="F437" s="5"/>
      <c r="G437" s="5"/>
      <c r="Z437">
        <f t="shared" si="13"/>
        <v>1</v>
      </c>
    </row>
    <row r="438" spans="1:26" x14ac:dyDescent="0.25">
      <c r="A438" t="str">
        <f t="shared" si="12"/>
        <v>00 STATUS - PLAYING</v>
      </c>
      <c r="B438" t="s">
        <v>36</v>
      </c>
      <c r="D438" s="5"/>
      <c r="E438" s="5"/>
      <c r="F438" s="5"/>
      <c r="G438" s="5"/>
      <c r="Z438">
        <f t="shared" si="13"/>
        <v>0</v>
      </c>
    </row>
    <row r="439" spans="1:26" x14ac:dyDescent="0.25">
      <c r="A439" t="str">
        <f t="shared" si="12"/>
        <v>84 REQUEST MORE TEXT FIELDS - SEND MAGAZINE INFO</v>
      </c>
      <c r="B439" t="s">
        <v>14</v>
      </c>
      <c r="D439" s="5"/>
      <c r="E439" s="5"/>
      <c r="F439" s="5"/>
      <c r="G439" s="5"/>
      <c r="Z439">
        <f t="shared" si="13"/>
        <v>1</v>
      </c>
    </row>
    <row r="440" spans="1:26" x14ac:dyDescent="0.25">
      <c r="A440" t="str">
        <f t="shared" si="12"/>
        <v>01 MASTER REQUEST - TIME POLL</v>
      </c>
      <c r="B440" t="s">
        <v>35</v>
      </c>
      <c r="D440" s="5"/>
      <c r="E440" s="5"/>
      <c r="F440" s="5"/>
      <c r="G440" s="5"/>
      <c r="Z440">
        <f t="shared" si="13"/>
        <v>0</v>
      </c>
    </row>
    <row r="441" spans="1:26" x14ac:dyDescent="0.25">
      <c r="A441" t="str">
        <f t="shared" si="12"/>
        <v>00 STATUS - PLAYING</v>
      </c>
      <c r="B441" t="s">
        <v>36</v>
      </c>
      <c r="D441" s="5"/>
      <c r="E441" s="5"/>
      <c r="F441" s="5"/>
      <c r="G441" s="5"/>
      <c r="Z441">
        <f t="shared" si="13"/>
        <v>0</v>
      </c>
    </row>
    <row r="442" spans="1:26" x14ac:dyDescent="0.25">
      <c r="A442" t="str">
        <f t="shared" si="12"/>
        <v>84 REQUEST MORE TEXT FIELDS - SEND DISC INFO</v>
      </c>
      <c r="B442" t="s">
        <v>17</v>
      </c>
      <c r="D442" s="5"/>
      <c r="E442" s="5"/>
      <c r="F442" s="5"/>
      <c r="G442" s="5"/>
      <c r="Z442">
        <f t="shared" si="13"/>
        <v>1</v>
      </c>
    </row>
    <row r="443" spans="1:26" x14ac:dyDescent="0.25">
      <c r="A443" t="str">
        <f t="shared" si="12"/>
        <v>01 MASTER REQUEST - SLAVE POLL</v>
      </c>
      <c r="B443" t="s">
        <v>37</v>
      </c>
      <c r="D443" s="5"/>
      <c r="E443" s="5"/>
      <c r="F443" s="5"/>
      <c r="G443" s="5"/>
      <c r="Z443">
        <f t="shared" si="13"/>
        <v>0</v>
      </c>
    </row>
    <row r="444" spans="1:26" x14ac:dyDescent="0.25">
      <c r="A444" t="str">
        <f t="shared" si="12"/>
        <v>95 MAGAZINE INFO - CD1 YES, CD2 YES, CD3 NO, CD4 NO, CD5 NO, CD6 NO</v>
      </c>
      <c r="B444" t="s">
        <v>38</v>
      </c>
      <c r="D444" s="5"/>
      <c r="E444" s="5"/>
      <c r="F444" s="5"/>
      <c r="G444" s="5"/>
      <c r="Z444">
        <f t="shared" si="13"/>
        <v>0</v>
      </c>
    </row>
    <row r="445" spans="1:26" x14ac:dyDescent="0.25">
      <c r="A445" t="str">
        <f t="shared" si="12"/>
        <v>01 MASTER REQUEST - SLAVE POLL</v>
      </c>
      <c r="B445" t="s">
        <v>37</v>
      </c>
      <c r="D445" s="5"/>
      <c r="E445" s="5"/>
      <c r="F445" s="5"/>
      <c r="G445" s="5"/>
      <c r="Z445">
        <f t="shared" si="13"/>
        <v>1</v>
      </c>
    </row>
    <row r="446" spans="1:26" x14ac:dyDescent="0.25">
      <c r="A446" t="str">
        <f t="shared" si="12"/>
        <v>97 DISC INFO - TRACKS: 69, MINS: 88, SECS: 00, DISC: 2</v>
      </c>
      <c r="B446" t="s">
        <v>39</v>
      </c>
      <c r="D446" s="5"/>
      <c r="E446" s="5"/>
      <c r="F446" s="5"/>
      <c r="G446" s="5"/>
      <c r="Z446">
        <f t="shared" si="13"/>
        <v>0</v>
      </c>
    </row>
    <row r="447" spans="1:26" x14ac:dyDescent="0.25">
      <c r="A447" t="str">
        <f t="shared" si="12"/>
        <v>01 MASTER REQUEST - SLAVE POLL</v>
      </c>
      <c r="B447" t="s">
        <v>37</v>
      </c>
      <c r="D447" s="5"/>
      <c r="E447" s="5"/>
      <c r="F447" s="5"/>
      <c r="G447" s="5"/>
      <c r="Z447">
        <f t="shared" si="13"/>
        <v>1</v>
      </c>
    </row>
    <row r="448" spans="1:26" x14ac:dyDescent="0.25">
      <c r="A448" t="str">
        <f t="shared" si="12"/>
        <v>90 TIME- TRACK: 02, 00:37, DISC: 2</v>
      </c>
      <c r="B448" t="s">
        <v>91</v>
      </c>
      <c r="D448" s="5"/>
      <c r="E448" s="5"/>
      <c r="F448" s="5"/>
      <c r="G448" s="5"/>
      <c r="Z448">
        <f t="shared" si="13"/>
        <v>0</v>
      </c>
    </row>
    <row r="449" spans="1:26" x14ac:dyDescent="0.25">
      <c r="A449" t="str">
        <f t="shared" si="12"/>
        <v>01 MASTER REQUEST - SLAVE POLL</v>
      </c>
      <c r="B449" t="s">
        <v>37</v>
      </c>
      <c r="D449" s="5"/>
      <c r="E449" s="5"/>
      <c r="F449" s="5"/>
      <c r="G449" s="5"/>
      <c r="Z449">
        <f t="shared" si="13"/>
        <v>1</v>
      </c>
    </row>
    <row r="450" spans="1:26" x14ac:dyDescent="0.25">
      <c r="A450" t="str">
        <f t="shared" si="12"/>
        <v>00 STATUS - PLAYING</v>
      </c>
      <c r="B450" t="s">
        <v>36</v>
      </c>
      <c r="D450" s="5"/>
      <c r="E450" s="5"/>
      <c r="F450" s="5"/>
      <c r="G450" s="5"/>
      <c r="Z450">
        <f t="shared" si="13"/>
        <v>0</v>
      </c>
    </row>
    <row r="451" spans="1:26" x14ac:dyDescent="0.25">
      <c r="A451" t="str">
        <f t="shared" ref="A451:A514" si="14">ParseUnilink(B451)</f>
        <v>84 REQUEST MORE TEXT FIELDS - SEND MAGAZINE INFO</v>
      </c>
      <c r="B451" t="s">
        <v>14</v>
      </c>
      <c r="D451" s="5"/>
      <c r="E451" s="5"/>
      <c r="F451" s="5"/>
      <c r="G451" s="5"/>
      <c r="Z451">
        <f t="shared" ref="Z451:Z514" si="15">IF(    ISNUMBER(SEARCH("10 30",B450,1))  +  ISNUMBER(SEARCH("10 31",B450,1))  +  ISNUMBER(SEARCH("70 30",B450,1))  +  ISNUMBER(SEARCH("70 31",B450,1))  +  ISNUMBER(SEARCH("77 30",B450,1))  +  ISNUMBER(SEARCH("77 31",B450,1)),1,0)</f>
        <v>1</v>
      </c>
    </row>
    <row r="452" spans="1:26" x14ac:dyDescent="0.25">
      <c r="A452" t="str">
        <f t="shared" si="14"/>
        <v>01 MASTER REQUEST - TIME POLL</v>
      </c>
      <c r="B452" t="s">
        <v>35</v>
      </c>
      <c r="D452" s="5"/>
      <c r="E452" s="5"/>
      <c r="F452" s="5"/>
      <c r="G452" s="5"/>
      <c r="Z452">
        <f t="shared" si="15"/>
        <v>0</v>
      </c>
    </row>
    <row r="453" spans="1:26" x14ac:dyDescent="0.25">
      <c r="A453" t="str">
        <f t="shared" si="14"/>
        <v>00 STATUS - PLAYING</v>
      </c>
      <c r="B453" t="s">
        <v>36</v>
      </c>
      <c r="D453" s="5"/>
      <c r="E453" s="5"/>
      <c r="F453" s="5"/>
      <c r="G453" s="5"/>
      <c r="Z453">
        <f t="shared" si="15"/>
        <v>0</v>
      </c>
    </row>
    <row r="454" spans="1:26" x14ac:dyDescent="0.25">
      <c r="A454" t="str">
        <f t="shared" si="14"/>
        <v>84 REQUEST MORE TEXT FIELDS - SEND DISC INFO</v>
      </c>
      <c r="B454" t="s">
        <v>17</v>
      </c>
      <c r="D454" s="5"/>
      <c r="E454" s="5"/>
      <c r="F454" s="5"/>
      <c r="G454" s="5"/>
      <c r="Z454">
        <f t="shared" si="15"/>
        <v>1</v>
      </c>
    </row>
    <row r="455" spans="1:26" x14ac:dyDescent="0.25">
      <c r="A455" t="str">
        <f t="shared" si="14"/>
        <v>01 MASTER REQUEST - SLAVE POLL</v>
      </c>
      <c r="B455" t="s">
        <v>37</v>
      </c>
      <c r="D455" s="5"/>
      <c r="E455" s="5"/>
      <c r="F455" s="5"/>
      <c r="G455" s="5"/>
      <c r="Z455">
        <f t="shared" si="15"/>
        <v>0</v>
      </c>
    </row>
    <row r="456" spans="1:26" x14ac:dyDescent="0.25">
      <c r="A456" t="str">
        <f t="shared" si="14"/>
        <v>90 TIME- TRACK: 02, 00:38, DISC: 2</v>
      </c>
      <c r="B456" t="s">
        <v>92</v>
      </c>
      <c r="D456" s="5"/>
      <c r="E456" s="5"/>
      <c r="F456" s="5"/>
      <c r="G456" s="5"/>
      <c r="Z456">
        <f t="shared" si="15"/>
        <v>0</v>
      </c>
    </row>
    <row r="457" spans="1:26" x14ac:dyDescent="0.25">
      <c r="A457" t="str">
        <f t="shared" si="14"/>
        <v>01 MASTER REQUEST - SLAVE POLL</v>
      </c>
      <c r="B457" t="s">
        <v>37</v>
      </c>
      <c r="D457" s="5"/>
      <c r="E457" s="5"/>
      <c r="F457" s="5"/>
      <c r="G457" s="5"/>
      <c r="Z457">
        <f t="shared" si="15"/>
        <v>1</v>
      </c>
    </row>
    <row r="458" spans="1:26" x14ac:dyDescent="0.25">
      <c r="A458" t="str">
        <f t="shared" si="14"/>
        <v>97 DISC INFO - TRACKS: 69, MINS: 88, SECS: 00, DISC: 2</v>
      </c>
      <c r="B458" t="s">
        <v>39</v>
      </c>
      <c r="D458" s="5"/>
      <c r="E458" s="5"/>
      <c r="F458" s="5"/>
      <c r="G458" s="5"/>
      <c r="Z458">
        <f t="shared" si="15"/>
        <v>0</v>
      </c>
    </row>
    <row r="459" spans="1:26" x14ac:dyDescent="0.25">
      <c r="A459" t="str">
        <f t="shared" si="14"/>
        <v>01 MASTER REQUEST - SLAVE POLL</v>
      </c>
      <c r="B459" t="s">
        <v>37</v>
      </c>
      <c r="D459" s="5"/>
      <c r="E459" s="5"/>
      <c r="F459" s="5"/>
      <c r="G459" s="5"/>
      <c r="Z459">
        <f t="shared" si="15"/>
        <v>1</v>
      </c>
    </row>
    <row r="460" spans="1:26" x14ac:dyDescent="0.25">
      <c r="A460" t="str">
        <f t="shared" si="14"/>
        <v>90 TIME- TRACK: 02, 00:39, DISC: 2</v>
      </c>
      <c r="B460" t="s">
        <v>93</v>
      </c>
      <c r="D460" s="5"/>
      <c r="E460" s="5"/>
      <c r="F460" s="5"/>
      <c r="G460" s="5"/>
      <c r="Z460">
        <f t="shared" si="15"/>
        <v>0</v>
      </c>
    </row>
    <row r="461" spans="1:26" x14ac:dyDescent="0.25">
      <c r="A461" t="str">
        <f t="shared" si="14"/>
        <v>01 MASTER REQUEST - SLAVE POLL</v>
      </c>
      <c r="B461" t="s">
        <v>37</v>
      </c>
      <c r="D461" s="5"/>
      <c r="E461" s="5"/>
      <c r="F461" s="5"/>
      <c r="G461" s="5"/>
      <c r="Z461">
        <f t="shared" si="15"/>
        <v>1</v>
      </c>
    </row>
    <row r="462" spans="1:26" x14ac:dyDescent="0.25">
      <c r="A462" t="str">
        <f t="shared" si="14"/>
        <v>00 STATUS - PLAYING</v>
      </c>
      <c r="B462" t="s">
        <v>36</v>
      </c>
      <c r="D462" s="5"/>
      <c r="E462" s="5"/>
      <c r="F462" s="5"/>
      <c r="G462" s="5"/>
      <c r="Z462">
        <f t="shared" si="15"/>
        <v>0</v>
      </c>
    </row>
    <row r="463" spans="1:26" x14ac:dyDescent="0.25">
      <c r="A463" t="str">
        <f t="shared" si="14"/>
        <v>84 REQUEST MORE TEXT FIELDS - SEND MAGAZINE INFO</v>
      </c>
      <c r="B463" t="s">
        <v>14</v>
      </c>
      <c r="D463" s="5"/>
      <c r="E463" s="5"/>
      <c r="F463" s="5"/>
      <c r="G463" s="5"/>
      <c r="Z463">
        <f t="shared" si="15"/>
        <v>1</v>
      </c>
    </row>
    <row r="464" spans="1:26" x14ac:dyDescent="0.25">
      <c r="A464" t="str">
        <f t="shared" si="14"/>
        <v>01 MASTER REQUEST - TIME POLL</v>
      </c>
      <c r="B464" t="s">
        <v>35</v>
      </c>
      <c r="D464" s="5"/>
      <c r="E464" s="5"/>
      <c r="F464" s="5"/>
      <c r="G464" s="5"/>
      <c r="Z464">
        <f t="shared" si="15"/>
        <v>0</v>
      </c>
    </row>
    <row r="465" spans="1:26" x14ac:dyDescent="0.25">
      <c r="A465" t="str">
        <f t="shared" si="14"/>
        <v>00 STATUS - PLAYING</v>
      </c>
      <c r="B465" t="s">
        <v>36</v>
      </c>
      <c r="D465" s="5"/>
      <c r="E465" s="5"/>
      <c r="F465" s="5"/>
      <c r="G465" s="5"/>
      <c r="Z465">
        <f t="shared" si="15"/>
        <v>0</v>
      </c>
    </row>
    <row r="466" spans="1:26" x14ac:dyDescent="0.25">
      <c r="A466" t="str">
        <f t="shared" si="14"/>
        <v>01 MASTER REQUEST - SLAVE POLL</v>
      </c>
      <c r="B466" t="s">
        <v>37</v>
      </c>
      <c r="D466" s="5"/>
      <c r="E466" s="5"/>
      <c r="F466" s="5"/>
      <c r="G466" s="5"/>
      <c r="Z466">
        <f t="shared" si="15"/>
        <v>1</v>
      </c>
    </row>
    <row r="467" spans="1:26" x14ac:dyDescent="0.25">
      <c r="A467" t="str">
        <f t="shared" si="14"/>
        <v>95 MAGAZINE INFO - CD1 YES, CD2 YES, CD3 NO, CD4 NO, CD5 NO, CD6 NO</v>
      </c>
      <c r="B467" t="s">
        <v>38</v>
      </c>
      <c r="D467" s="5"/>
      <c r="E467" s="5"/>
      <c r="F467" s="5"/>
      <c r="G467" s="5"/>
      <c r="Z467">
        <f t="shared" si="15"/>
        <v>0</v>
      </c>
    </row>
    <row r="468" spans="1:26" x14ac:dyDescent="0.25">
      <c r="A468" t="str">
        <f t="shared" si="14"/>
        <v>01 MASTER REQUEST - SLAVE POLL</v>
      </c>
      <c r="B468" t="s">
        <v>37</v>
      </c>
      <c r="D468" s="5"/>
      <c r="E468" s="5"/>
      <c r="F468" s="5"/>
      <c r="G468" s="5"/>
      <c r="Z468">
        <f t="shared" si="15"/>
        <v>1</v>
      </c>
    </row>
    <row r="469" spans="1:26" x14ac:dyDescent="0.25">
      <c r="A469" t="str">
        <f t="shared" si="14"/>
        <v>00 STATUS - PLAYING</v>
      </c>
      <c r="B469" t="s">
        <v>36</v>
      </c>
      <c r="D469" s="5"/>
      <c r="E469" s="5"/>
      <c r="F469" s="5"/>
      <c r="G469" s="5"/>
      <c r="Z469">
        <f t="shared" si="15"/>
        <v>0</v>
      </c>
    </row>
    <row r="470" spans="1:26" x14ac:dyDescent="0.25">
      <c r="A470" t="str">
        <f t="shared" si="14"/>
        <v>84 REQUEST MORE TEXT FIELDS - SEND DISC INFO</v>
      </c>
      <c r="B470" t="s">
        <v>17</v>
      </c>
      <c r="D470" s="5"/>
      <c r="E470" s="5"/>
      <c r="F470" s="5"/>
      <c r="G470" s="5"/>
      <c r="Z470">
        <f t="shared" si="15"/>
        <v>1</v>
      </c>
    </row>
    <row r="471" spans="1:26" x14ac:dyDescent="0.25">
      <c r="A471" t="str">
        <f t="shared" si="14"/>
        <v>01 MASTER REQUEST - SLAVE POLL</v>
      </c>
      <c r="B471" t="s">
        <v>37</v>
      </c>
      <c r="D471" s="5"/>
      <c r="E471" s="5"/>
      <c r="F471" s="5"/>
      <c r="G471" s="5"/>
      <c r="Z471">
        <f t="shared" si="15"/>
        <v>0</v>
      </c>
    </row>
    <row r="472" spans="1:26" x14ac:dyDescent="0.25">
      <c r="A472" t="str">
        <f t="shared" si="14"/>
        <v>97 DISC INFO - TRACKS: 69, MINS: 88, SECS: 00, DISC: 2</v>
      </c>
      <c r="B472" t="s">
        <v>39</v>
      </c>
      <c r="D472" s="5"/>
      <c r="E472" s="5"/>
      <c r="F472" s="5"/>
      <c r="G472" s="5"/>
      <c r="Z472">
        <f t="shared" si="15"/>
        <v>0</v>
      </c>
    </row>
    <row r="473" spans="1:26" x14ac:dyDescent="0.25">
      <c r="A473" t="str">
        <f t="shared" si="14"/>
        <v>01 MASTER REQUEST - SLAVE POLL</v>
      </c>
      <c r="B473" t="s">
        <v>37</v>
      </c>
      <c r="D473" s="5"/>
      <c r="E473" s="5"/>
      <c r="F473" s="5"/>
      <c r="G473" s="5"/>
      <c r="Z473">
        <f t="shared" si="15"/>
        <v>1</v>
      </c>
    </row>
    <row r="474" spans="1:26" x14ac:dyDescent="0.25">
      <c r="A474" t="str">
        <f t="shared" si="14"/>
        <v>00 STATUS - PLAYING</v>
      </c>
      <c r="B474" t="s">
        <v>36</v>
      </c>
      <c r="D474" s="5"/>
      <c r="E474" s="5"/>
      <c r="F474" s="5"/>
      <c r="G474" s="5"/>
      <c r="Z474">
        <f t="shared" si="15"/>
        <v>0</v>
      </c>
    </row>
    <row r="475" spans="1:26" x14ac:dyDescent="0.25">
      <c r="A475" t="str">
        <f t="shared" si="14"/>
        <v>01 MASTER REQUEST - SLAVE POLL</v>
      </c>
      <c r="B475" t="s">
        <v>37</v>
      </c>
      <c r="D475" s="5"/>
      <c r="E475" s="5"/>
      <c r="F475" s="5"/>
      <c r="G475" s="5"/>
      <c r="Z475">
        <f t="shared" si="15"/>
        <v>1</v>
      </c>
    </row>
    <row r="476" spans="1:26" x14ac:dyDescent="0.25">
      <c r="A476" t="str">
        <f t="shared" si="14"/>
        <v>90 TIME- TRACK: 02, 00:40, DISC: 2</v>
      </c>
      <c r="B476" t="s">
        <v>94</v>
      </c>
      <c r="D476" s="5"/>
      <c r="E476" s="5"/>
      <c r="F476" s="5"/>
      <c r="G476" s="5"/>
      <c r="Z476">
        <f t="shared" si="15"/>
        <v>0</v>
      </c>
    </row>
    <row r="477" spans="1:26" x14ac:dyDescent="0.25">
      <c r="A477" t="str">
        <f t="shared" si="14"/>
        <v>01 MASTER REQUEST - SLAVE POLL</v>
      </c>
      <c r="B477" t="s">
        <v>37</v>
      </c>
      <c r="D477" s="5"/>
      <c r="E477" s="5"/>
      <c r="F477" s="5"/>
      <c r="G477" s="5"/>
      <c r="Z477">
        <f t="shared" si="15"/>
        <v>1</v>
      </c>
    </row>
    <row r="478" spans="1:26" x14ac:dyDescent="0.25">
      <c r="A478" t="str">
        <f t="shared" si="14"/>
        <v>00 STATUS - PLAYING</v>
      </c>
      <c r="B478" t="s">
        <v>36</v>
      </c>
      <c r="D478" s="5"/>
      <c r="E478" s="5"/>
      <c r="F478" s="5"/>
      <c r="G478" s="5"/>
      <c r="Z478">
        <f t="shared" si="15"/>
        <v>0</v>
      </c>
    </row>
    <row r="479" spans="1:26" x14ac:dyDescent="0.25">
      <c r="A479" t="str">
        <f t="shared" si="14"/>
        <v>84 REQUEST MORE TEXT FIELDS - SEND MAGAZINE INFO</v>
      </c>
      <c r="B479" t="s">
        <v>14</v>
      </c>
      <c r="D479" s="5"/>
      <c r="E479" s="5"/>
      <c r="F479" s="5"/>
      <c r="G479" s="5"/>
      <c r="Z479">
        <f t="shared" si="15"/>
        <v>1</v>
      </c>
    </row>
    <row r="480" spans="1:26" x14ac:dyDescent="0.25">
      <c r="A480" t="str">
        <f t="shared" si="14"/>
        <v>01 MASTER REQUEST - TIME POLL</v>
      </c>
      <c r="B480" t="s">
        <v>35</v>
      </c>
      <c r="D480" s="5"/>
      <c r="E480" s="5"/>
      <c r="F480" s="5"/>
      <c r="G480" s="5"/>
      <c r="Z480">
        <f t="shared" si="15"/>
        <v>0</v>
      </c>
    </row>
    <row r="481" spans="1:26" x14ac:dyDescent="0.25">
      <c r="A481" t="str">
        <f t="shared" si="14"/>
        <v>00 STATUS - PLAYING</v>
      </c>
      <c r="B481" t="s">
        <v>36</v>
      </c>
      <c r="D481" s="5"/>
      <c r="E481" s="5"/>
      <c r="F481" s="5"/>
      <c r="G481" s="5"/>
      <c r="Z481">
        <f t="shared" si="15"/>
        <v>0</v>
      </c>
    </row>
    <row r="482" spans="1:26" x14ac:dyDescent="0.25">
      <c r="A482" t="str">
        <f t="shared" si="14"/>
        <v>84 REQUEST MORE TEXT FIELDS - SEND DISC INFO</v>
      </c>
      <c r="B482" t="s">
        <v>17</v>
      </c>
      <c r="D482" s="5"/>
      <c r="E482" s="5"/>
      <c r="F482" s="5"/>
      <c r="G482" s="5"/>
      <c r="Z482">
        <f t="shared" si="15"/>
        <v>1</v>
      </c>
    </row>
    <row r="483" spans="1:26" x14ac:dyDescent="0.25">
      <c r="A483" t="str">
        <f t="shared" si="14"/>
        <v>01 MASTER REQUEST - SLAVE POLL</v>
      </c>
      <c r="B483" t="s">
        <v>37</v>
      </c>
      <c r="D483" s="5"/>
      <c r="E483" s="5"/>
      <c r="F483" s="5"/>
      <c r="G483" s="5"/>
      <c r="Z483">
        <f t="shared" si="15"/>
        <v>0</v>
      </c>
    </row>
    <row r="484" spans="1:26" x14ac:dyDescent="0.25">
      <c r="A484" t="str">
        <f t="shared" si="14"/>
        <v>95 MAGAZINE INFO - CD1 YES, CD2 YES, CD3 NO, CD4 NO, CD5 NO, CD6 NO</v>
      </c>
      <c r="B484" t="s">
        <v>38</v>
      </c>
      <c r="D484" s="5"/>
      <c r="E484" s="5"/>
      <c r="F484" s="5"/>
      <c r="G484" s="5"/>
      <c r="Z484">
        <f t="shared" si="15"/>
        <v>0</v>
      </c>
    </row>
    <row r="485" spans="1:26" x14ac:dyDescent="0.25">
      <c r="A485" t="str">
        <f t="shared" si="14"/>
        <v>01 MASTER REQUEST - SLAVE POLL</v>
      </c>
      <c r="B485" t="s">
        <v>37</v>
      </c>
      <c r="D485" s="5"/>
      <c r="E485" s="5"/>
      <c r="F485" s="5"/>
      <c r="G485" s="5"/>
      <c r="Z485">
        <f t="shared" si="15"/>
        <v>1</v>
      </c>
    </row>
    <row r="486" spans="1:26" x14ac:dyDescent="0.25">
      <c r="A486" t="str">
        <f t="shared" si="14"/>
        <v>97 DISC INFO - TRACKS: 69, MINS: 88, SECS: 00, DISC: 2</v>
      </c>
      <c r="B486" t="s">
        <v>39</v>
      </c>
      <c r="D486" s="5"/>
      <c r="E486" s="5"/>
      <c r="F486" s="5"/>
      <c r="G486" s="5"/>
      <c r="Z486">
        <f t="shared" si="15"/>
        <v>0</v>
      </c>
    </row>
    <row r="487" spans="1:26" x14ac:dyDescent="0.25">
      <c r="A487" t="str">
        <f t="shared" si="14"/>
        <v>01 MASTER REQUEST - SLAVE POLL</v>
      </c>
      <c r="B487" t="s">
        <v>37</v>
      </c>
      <c r="D487" s="5"/>
      <c r="E487" s="5"/>
      <c r="F487" s="5"/>
      <c r="G487" s="5"/>
      <c r="Z487">
        <f t="shared" si="15"/>
        <v>1</v>
      </c>
    </row>
    <row r="488" spans="1:26" x14ac:dyDescent="0.25">
      <c r="A488" t="str">
        <f t="shared" si="14"/>
        <v>90 TIME- TRACK: 02, 00:41, DISC: 2</v>
      </c>
      <c r="B488" t="s">
        <v>95</v>
      </c>
      <c r="D488" s="5"/>
      <c r="E488" s="5"/>
      <c r="F488" s="5"/>
      <c r="G488" s="5"/>
      <c r="Z488">
        <f t="shared" si="15"/>
        <v>0</v>
      </c>
    </row>
    <row r="489" spans="1:26" x14ac:dyDescent="0.25">
      <c r="A489" t="str">
        <f t="shared" si="14"/>
        <v>01 MASTER REQUEST - SLAVE POLL</v>
      </c>
      <c r="B489" t="s">
        <v>37</v>
      </c>
      <c r="D489" s="5"/>
      <c r="E489" s="5"/>
      <c r="F489" s="5"/>
      <c r="G489" s="5"/>
      <c r="Z489">
        <f t="shared" si="15"/>
        <v>1</v>
      </c>
    </row>
    <row r="490" spans="1:26" x14ac:dyDescent="0.25">
      <c r="A490" t="str">
        <f t="shared" si="14"/>
        <v>00 STATUS - PLAYING</v>
      </c>
      <c r="B490" t="s">
        <v>36</v>
      </c>
      <c r="D490" s="5"/>
      <c r="E490" s="5"/>
      <c r="F490" s="5"/>
      <c r="G490" s="5"/>
      <c r="Z490">
        <f t="shared" si="15"/>
        <v>0</v>
      </c>
    </row>
    <row r="491" spans="1:26" x14ac:dyDescent="0.25">
      <c r="A491" t="str">
        <f t="shared" si="14"/>
        <v>01 MASTER REQUEST - SLAVE POLL</v>
      </c>
      <c r="B491" t="s">
        <v>37</v>
      </c>
      <c r="D491" s="5"/>
      <c r="E491" s="5"/>
      <c r="F491" s="5"/>
      <c r="G491" s="5"/>
      <c r="Z491">
        <f t="shared" si="15"/>
        <v>1</v>
      </c>
    </row>
    <row r="492" spans="1:26" x14ac:dyDescent="0.25">
      <c r="A492" t="str">
        <f t="shared" si="14"/>
        <v>90 TIME- TRACK: 02, 00:42, DISC: 2</v>
      </c>
      <c r="B492" t="s">
        <v>96</v>
      </c>
      <c r="D492" s="5"/>
      <c r="E492" s="5"/>
      <c r="F492" s="5"/>
      <c r="G492" s="5"/>
      <c r="Z492">
        <f t="shared" si="15"/>
        <v>0</v>
      </c>
    </row>
    <row r="493" spans="1:26" x14ac:dyDescent="0.25">
      <c r="A493" t="str">
        <f t="shared" si="14"/>
        <v>84 REQUEST MORE TEXT FIELDS - SEND MAGAZINE INFO</v>
      </c>
      <c r="B493" t="s">
        <v>14</v>
      </c>
      <c r="D493" s="5"/>
      <c r="E493" s="5"/>
      <c r="F493" s="5"/>
      <c r="G493" s="5"/>
      <c r="Z493">
        <f t="shared" si="15"/>
        <v>1</v>
      </c>
    </row>
    <row r="494" spans="1:26" x14ac:dyDescent="0.25">
      <c r="A494" t="str">
        <f t="shared" si="14"/>
        <v>01 MASTER REQUEST - TIME POLL</v>
      </c>
      <c r="B494" t="s">
        <v>35</v>
      </c>
      <c r="D494" s="5"/>
      <c r="E494" s="5"/>
      <c r="F494" s="5"/>
      <c r="G494" s="5"/>
      <c r="Z494">
        <f t="shared" si="15"/>
        <v>0</v>
      </c>
    </row>
    <row r="495" spans="1:26" x14ac:dyDescent="0.25">
      <c r="A495" t="str">
        <f t="shared" si="14"/>
        <v>00 STATUS - PLAYING</v>
      </c>
      <c r="B495" t="s">
        <v>36</v>
      </c>
      <c r="D495" s="5"/>
      <c r="E495" s="5"/>
      <c r="F495" s="5"/>
      <c r="G495" s="5"/>
      <c r="Z495">
        <f t="shared" si="15"/>
        <v>0</v>
      </c>
    </row>
    <row r="496" spans="1:26" x14ac:dyDescent="0.25">
      <c r="A496" t="str">
        <f t="shared" si="14"/>
        <v>84 REQUEST MORE TEXT FIELDS - SEND DISC INFO</v>
      </c>
      <c r="B496" t="s">
        <v>17</v>
      </c>
      <c r="D496" s="5"/>
      <c r="E496" s="5"/>
      <c r="F496" s="5"/>
      <c r="G496" s="5"/>
      <c r="Z496">
        <f t="shared" si="15"/>
        <v>1</v>
      </c>
    </row>
    <row r="497" spans="1:26" x14ac:dyDescent="0.25">
      <c r="A497" t="str">
        <f t="shared" si="14"/>
        <v>01 MASTER REQUEST - SLAVE POLL</v>
      </c>
      <c r="B497" t="s">
        <v>37</v>
      </c>
      <c r="D497" s="5"/>
      <c r="E497" s="5"/>
      <c r="F497" s="5"/>
      <c r="G497" s="5"/>
      <c r="Z497">
        <f t="shared" si="15"/>
        <v>0</v>
      </c>
    </row>
    <row r="498" spans="1:26" x14ac:dyDescent="0.25">
      <c r="A498" t="str">
        <f t="shared" si="14"/>
        <v>95 MAGAZINE INFO - CD1 YES, CD2 YES, CD3 NO, CD4 NO, CD5 NO, CD6 NO</v>
      </c>
      <c r="B498" t="s">
        <v>38</v>
      </c>
      <c r="D498" s="5"/>
      <c r="E498" s="5"/>
      <c r="F498" s="5"/>
      <c r="G498" s="5"/>
      <c r="Z498">
        <f t="shared" si="15"/>
        <v>0</v>
      </c>
    </row>
    <row r="499" spans="1:26" x14ac:dyDescent="0.25">
      <c r="A499" t="str">
        <f t="shared" si="14"/>
        <v>01 MASTER REQUEST - SLAVE POLL</v>
      </c>
      <c r="B499" t="s">
        <v>37</v>
      </c>
      <c r="D499" s="5"/>
      <c r="E499" s="5"/>
      <c r="F499" s="5"/>
      <c r="G499" s="5"/>
      <c r="Z499">
        <f t="shared" si="15"/>
        <v>1</v>
      </c>
    </row>
    <row r="500" spans="1:26" x14ac:dyDescent="0.25">
      <c r="A500" t="str">
        <f t="shared" si="14"/>
        <v>97 DISC INFO - TRACKS: 69, MINS: 88, SECS: 00, DISC: 2</v>
      </c>
      <c r="B500" t="s">
        <v>39</v>
      </c>
      <c r="D500" s="5"/>
      <c r="E500" s="5"/>
      <c r="F500" s="5"/>
      <c r="G500" s="5"/>
      <c r="Z500">
        <f t="shared" si="15"/>
        <v>0</v>
      </c>
    </row>
    <row r="501" spans="1:26" x14ac:dyDescent="0.25">
      <c r="A501" t="str">
        <f t="shared" si="14"/>
        <v>01 MASTER REQUEST - SLAVE POLL</v>
      </c>
      <c r="B501" t="s">
        <v>37</v>
      </c>
      <c r="D501" s="5"/>
      <c r="E501" s="5"/>
      <c r="F501" s="5"/>
      <c r="G501" s="5"/>
      <c r="Z501">
        <f t="shared" si="15"/>
        <v>1</v>
      </c>
    </row>
    <row r="502" spans="1:26" x14ac:dyDescent="0.25">
      <c r="A502" t="str">
        <f t="shared" si="14"/>
        <v>90 TIME- TRACK: 02, 00:44, DISC: 2</v>
      </c>
      <c r="B502" t="s">
        <v>97</v>
      </c>
      <c r="D502" s="5"/>
      <c r="E502" s="5"/>
      <c r="F502" s="5"/>
      <c r="G502" s="5"/>
      <c r="Z502">
        <f t="shared" si="15"/>
        <v>0</v>
      </c>
    </row>
    <row r="503" spans="1:26" x14ac:dyDescent="0.25">
      <c r="A503" t="str">
        <f t="shared" si="14"/>
        <v>01 MASTER REQUEST - SLAVE POLL</v>
      </c>
      <c r="B503" t="s">
        <v>37</v>
      </c>
      <c r="D503" s="5"/>
      <c r="E503" s="5"/>
      <c r="F503" s="5"/>
      <c r="G503" s="5"/>
      <c r="Z503">
        <f t="shared" si="15"/>
        <v>1</v>
      </c>
    </row>
    <row r="504" spans="1:26" x14ac:dyDescent="0.25">
      <c r="A504" t="str">
        <f t="shared" si="14"/>
        <v>00 STATUS - PLAYING</v>
      </c>
      <c r="B504" t="s">
        <v>36</v>
      </c>
      <c r="D504" s="5"/>
      <c r="E504" s="5"/>
      <c r="F504" s="5"/>
      <c r="G504" s="5"/>
      <c r="Z504">
        <f t="shared" si="15"/>
        <v>0</v>
      </c>
    </row>
    <row r="505" spans="1:26" x14ac:dyDescent="0.25">
      <c r="A505" t="str">
        <f t="shared" si="14"/>
        <v>84 REQUEST MORE TEXT FIELDS - SEND MAGAZINE INFO</v>
      </c>
      <c r="B505" t="s">
        <v>14</v>
      </c>
      <c r="D505" s="5"/>
      <c r="E505" s="5"/>
      <c r="F505" s="5"/>
      <c r="G505" s="5"/>
      <c r="Z505">
        <f t="shared" si="15"/>
        <v>1</v>
      </c>
    </row>
    <row r="506" spans="1:26" x14ac:dyDescent="0.25">
      <c r="A506" t="str">
        <f t="shared" si="14"/>
        <v>01 MASTER REQUEST - TIME POLL</v>
      </c>
      <c r="B506" t="s">
        <v>35</v>
      </c>
      <c r="D506" s="5"/>
      <c r="E506" s="5"/>
      <c r="F506" s="5"/>
      <c r="G506" s="5"/>
      <c r="Z506">
        <f t="shared" si="15"/>
        <v>0</v>
      </c>
    </row>
    <row r="507" spans="1:26" x14ac:dyDescent="0.25">
      <c r="A507" t="str">
        <f t="shared" si="14"/>
        <v>00 STATUS - PLAYING</v>
      </c>
      <c r="B507" t="s">
        <v>36</v>
      </c>
      <c r="D507" s="5"/>
      <c r="E507" s="5"/>
      <c r="F507" s="5"/>
      <c r="G507" s="5"/>
      <c r="Z507">
        <f t="shared" si="15"/>
        <v>0</v>
      </c>
    </row>
    <row r="508" spans="1:26" x14ac:dyDescent="0.25">
      <c r="A508" t="str">
        <f t="shared" si="14"/>
        <v>84 REQUEST MORE TEXT FIELDS - SEND DISC INFO</v>
      </c>
      <c r="B508" t="s">
        <v>17</v>
      </c>
      <c r="D508" s="5"/>
      <c r="E508" s="5"/>
      <c r="F508" s="5"/>
      <c r="G508" s="5"/>
      <c r="Z508">
        <f t="shared" si="15"/>
        <v>1</v>
      </c>
    </row>
    <row r="509" spans="1:26" x14ac:dyDescent="0.25">
      <c r="A509" t="str">
        <f t="shared" si="14"/>
        <v>01 MASTER REQUEST - SLAVE POLL</v>
      </c>
      <c r="B509" t="s">
        <v>37</v>
      </c>
      <c r="D509" s="5"/>
      <c r="E509" s="5"/>
      <c r="F509" s="5"/>
      <c r="G509" s="5"/>
      <c r="Z509">
        <f t="shared" si="15"/>
        <v>0</v>
      </c>
    </row>
    <row r="510" spans="1:26" x14ac:dyDescent="0.25">
      <c r="A510" t="str">
        <f t="shared" si="14"/>
        <v>95 MAGAZINE INFO - CD1 YES, CD2 YES, CD3 NO, CD4 NO, CD5 NO, CD6 NO</v>
      </c>
      <c r="B510" t="s">
        <v>38</v>
      </c>
      <c r="D510" s="5"/>
      <c r="E510" s="5"/>
      <c r="F510" s="5"/>
      <c r="G510" s="5"/>
      <c r="Z510">
        <f t="shared" si="15"/>
        <v>0</v>
      </c>
    </row>
    <row r="511" spans="1:26" x14ac:dyDescent="0.25">
      <c r="A511" t="str">
        <f t="shared" si="14"/>
        <v>01 MASTER REQUEST - SLAVE POLL</v>
      </c>
      <c r="B511" t="s">
        <v>37</v>
      </c>
      <c r="D511" s="5"/>
      <c r="E511" s="5"/>
      <c r="F511" s="5"/>
      <c r="G511" s="5"/>
      <c r="Z511">
        <f t="shared" si="15"/>
        <v>1</v>
      </c>
    </row>
    <row r="512" spans="1:26" x14ac:dyDescent="0.25">
      <c r="A512" t="str">
        <f t="shared" si="14"/>
        <v>97 DISC INFO - TRACKS: 69, MINS: 88, SECS: 00, DISC: 2</v>
      </c>
      <c r="B512" t="s">
        <v>39</v>
      </c>
      <c r="D512" s="5"/>
      <c r="E512" s="5"/>
      <c r="F512" s="5"/>
      <c r="G512" s="5"/>
      <c r="Z512">
        <f t="shared" si="15"/>
        <v>0</v>
      </c>
    </row>
    <row r="513" spans="1:26" x14ac:dyDescent="0.25">
      <c r="A513" t="str">
        <f t="shared" si="14"/>
        <v>01 MASTER REQUEST - SLAVE POLL</v>
      </c>
      <c r="B513" t="s">
        <v>37</v>
      </c>
      <c r="D513" s="5"/>
      <c r="E513" s="5"/>
      <c r="F513" s="5"/>
      <c r="G513" s="5"/>
      <c r="Z513">
        <f t="shared" si="15"/>
        <v>1</v>
      </c>
    </row>
    <row r="514" spans="1:26" x14ac:dyDescent="0.25">
      <c r="A514" t="str">
        <f t="shared" si="14"/>
        <v>90 TIME- TRACK: 02, 00:45, DISC: 2</v>
      </c>
      <c r="B514" t="s">
        <v>98</v>
      </c>
      <c r="D514" s="5"/>
      <c r="E514" s="5"/>
      <c r="F514" s="5"/>
      <c r="G514" s="5"/>
      <c r="Z514">
        <f t="shared" si="15"/>
        <v>0</v>
      </c>
    </row>
    <row r="515" spans="1:26" x14ac:dyDescent="0.25">
      <c r="A515" t="str">
        <f t="shared" ref="A515:A544" si="16">ParseUnilink(B515)</f>
        <v>01 MASTER REQUEST - SLAVE POLL</v>
      </c>
      <c r="B515" t="s">
        <v>37</v>
      </c>
      <c r="D515" s="5"/>
      <c r="E515" s="5"/>
      <c r="F515" s="5"/>
      <c r="G515" s="5"/>
      <c r="Z515">
        <f t="shared" ref="Z515:Z545" si="17">IF(    ISNUMBER(SEARCH("10 30",B514,1))  +  ISNUMBER(SEARCH("10 31",B514,1))  +  ISNUMBER(SEARCH("70 30",B514,1))  +  ISNUMBER(SEARCH("70 31",B514,1))  +  ISNUMBER(SEARCH("77 30",B514,1))  +  ISNUMBER(SEARCH("77 31",B514,1)),1,0)</f>
        <v>1</v>
      </c>
    </row>
    <row r="516" spans="1:26" x14ac:dyDescent="0.25">
      <c r="A516" t="str">
        <f t="shared" si="16"/>
        <v>00 STATUS - PLAYING</v>
      </c>
      <c r="B516" t="s">
        <v>36</v>
      </c>
      <c r="D516" s="5"/>
      <c r="E516" s="5"/>
      <c r="F516" s="5"/>
      <c r="G516" s="5"/>
      <c r="Z516">
        <f t="shared" si="17"/>
        <v>0</v>
      </c>
    </row>
    <row r="517" spans="1:26" x14ac:dyDescent="0.25">
      <c r="A517" t="str">
        <f t="shared" si="16"/>
        <v>84 REQUEST MORE TEXT FIELDS - SEND MAGAZINE INFO</v>
      </c>
      <c r="B517" t="s">
        <v>14</v>
      </c>
      <c r="D517" s="5"/>
      <c r="E517" s="5"/>
      <c r="F517" s="5"/>
      <c r="G517" s="5"/>
      <c r="Z517">
        <f t="shared" si="17"/>
        <v>1</v>
      </c>
    </row>
    <row r="518" spans="1:26" x14ac:dyDescent="0.25">
      <c r="A518" t="str">
        <f t="shared" si="16"/>
        <v>01 MASTER REQUEST - TIME POLL</v>
      </c>
      <c r="B518" t="s">
        <v>35</v>
      </c>
      <c r="D518" s="5"/>
      <c r="E518" s="5"/>
      <c r="F518" s="5"/>
      <c r="G518" s="5"/>
      <c r="Z518">
        <f t="shared" si="17"/>
        <v>0</v>
      </c>
    </row>
    <row r="519" spans="1:26" x14ac:dyDescent="0.25">
      <c r="A519" t="str">
        <f t="shared" si="16"/>
        <v>00 STATUS - PLAYING</v>
      </c>
      <c r="B519" t="s">
        <v>36</v>
      </c>
      <c r="D519" s="5"/>
      <c r="E519" s="5"/>
      <c r="F519" s="5"/>
      <c r="G519" s="5"/>
      <c r="Z519">
        <f t="shared" si="17"/>
        <v>0</v>
      </c>
    </row>
    <row r="520" spans="1:26" x14ac:dyDescent="0.25">
      <c r="A520" t="str">
        <f t="shared" si="16"/>
        <v>84 REQUEST MORE TEXT FIELDS - SEND DISC INFO</v>
      </c>
      <c r="B520" t="s">
        <v>17</v>
      </c>
      <c r="D520" s="5"/>
      <c r="E520" s="5"/>
      <c r="F520" s="5"/>
      <c r="G520" s="5"/>
      <c r="Z520">
        <f t="shared" si="17"/>
        <v>1</v>
      </c>
    </row>
    <row r="521" spans="1:26" x14ac:dyDescent="0.25">
      <c r="A521" t="str">
        <f t="shared" si="16"/>
        <v>01 MASTER REQUEST - SLAVE POLL</v>
      </c>
      <c r="B521" t="s">
        <v>37</v>
      </c>
      <c r="D521" s="5"/>
      <c r="E521" s="5"/>
      <c r="F521" s="5"/>
      <c r="G521" s="5"/>
      <c r="Z521">
        <f t="shared" si="17"/>
        <v>0</v>
      </c>
    </row>
    <row r="522" spans="1:26" x14ac:dyDescent="0.25">
      <c r="A522" t="str">
        <f t="shared" si="16"/>
        <v>95 MAGAZINE INFO - CD1 YES, CD2 YES, CD3 NO, CD4 NO, CD5 NO, CD6 NO</v>
      </c>
      <c r="B522" t="s">
        <v>38</v>
      </c>
      <c r="D522" s="5"/>
      <c r="E522" s="5"/>
      <c r="F522" s="5"/>
      <c r="G522" s="5"/>
      <c r="Z522">
        <f t="shared" si="17"/>
        <v>0</v>
      </c>
    </row>
    <row r="523" spans="1:26" x14ac:dyDescent="0.25">
      <c r="A523" t="str">
        <f t="shared" si="16"/>
        <v>01 MASTER REQUEST - SLAVE POLL</v>
      </c>
      <c r="B523" t="s">
        <v>37</v>
      </c>
      <c r="D523" s="5"/>
      <c r="E523" s="5"/>
      <c r="F523" s="5"/>
      <c r="G523" s="5"/>
      <c r="Z523">
        <f t="shared" si="17"/>
        <v>1</v>
      </c>
    </row>
    <row r="524" spans="1:26" x14ac:dyDescent="0.25">
      <c r="A524" t="str">
        <f t="shared" si="16"/>
        <v>97 DISC INFO - TRACKS: 69, MINS: 88, SECS: 00, DISC: 2</v>
      </c>
      <c r="B524" t="s">
        <v>39</v>
      </c>
      <c r="D524" s="5"/>
      <c r="E524" s="5"/>
      <c r="F524" s="5"/>
      <c r="G524" s="5"/>
      <c r="Z524">
        <f t="shared" si="17"/>
        <v>0</v>
      </c>
    </row>
    <row r="525" spans="1:26" x14ac:dyDescent="0.25">
      <c r="A525" t="str">
        <f t="shared" si="16"/>
        <v>01 MASTER REQUEST - SLAVE POLL</v>
      </c>
      <c r="B525" t="s">
        <v>37</v>
      </c>
      <c r="D525" s="5"/>
      <c r="E525" s="5"/>
      <c r="F525" s="5"/>
      <c r="G525" s="5"/>
      <c r="Z525">
        <f t="shared" si="17"/>
        <v>1</v>
      </c>
    </row>
    <row r="526" spans="1:26" x14ac:dyDescent="0.25">
      <c r="A526" t="str">
        <f t="shared" si="16"/>
        <v>90 TIME- TRACK: 02, 00:46, DISC: 2</v>
      </c>
      <c r="B526" t="s">
        <v>99</v>
      </c>
      <c r="D526" s="5"/>
      <c r="E526" s="5"/>
      <c r="F526" s="5"/>
      <c r="G526" s="5"/>
      <c r="Z526">
        <f t="shared" si="17"/>
        <v>0</v>
      </c>
    </row>
    <row r="527" spans="1:26" x14ac:dyDescent="0.25">
      <c r="A527" t="str">
        <f t="shared" si="16"/>
        <v>01 MASTER REQUEST - SLAVE POLL</v>
      </c>
      <c r="B527" t="s">
        <v>37</v>
      </c>
      <c r="D527" s="5"/>
      <c r="E527" s="5"/>
      <c r="F527" s="5"/>
      <c r="G527" s="5"/>
      <c r="Z527">
        <f t="shared" si="17"/>
        <v>1</v>
      </c>
    </row>
    <row r="528" spans="1:26" x14ac:dyDescent="0.25">
      <c r="A528" t="str">
        <f t="shared" si="16"/>
        <v>00 STATUS - PLAYING</v>
      </c>
      <c r="B528" t="s">
        <v>36</v>
      </c>
      <c r="D528" s="5"/>
      <c r="E528" s="5"/>
      <c r="F528" s="5"/>
      <c r="G528" s="5"/>
      <c r="Z528">
        <f t="shared" si="17"/>
        <v>0</v>
      </c>
    </row>
    <row r="529" spans="1:26" x14ac:dyDescent="0.25">
      <c r="A529" t="str">
        <f t="shared" si="16"/>
        <v>01 MASTER REQUEST - SLAVE POLL</v>
      </c>
      <c r="B529" t="s">
        <v>37</v>
      </c>
      <c r="D529" s="5"/>
      <c r="E529" s="5"/>
      <c r="F529" s="5"/>
      <c r="G529" s="5"/>
      <c r="Z529">
        <f t="shared" si="17"/>
        <v>1</v>
      </c>
    </row>
    <row r="530" spans="1:26" x14ac:dyDescent="0.25">
      <c r="A530" t="str">
        <f t="shared" si="16"/>
        <v>90 TIME- TRACK: 02, 00:47, DISC: 2</v>
      </c>
      <c r="B530" t="s">
        <v>100</v>
      </c>
      <c r="D530" s="5"/>
      <c r="E530" s="5"/>
      <c r="F530" s="5"/>
      <c r="G530" s="5"/>
      <c r="Z530">
        <f t="shared" si="17"/>
        <v>0</v>
      </c>
    </row>
    <row r="531" spans="1:26" x14ac:dyDescent="0.25">
      <c r="A531" t="str">
        <f t="shared" si="16"/>
        <v>01 MASTER REQUEST - SLAVE POLL</v>
      </c>
      <c r="B531" t="s">
        <v>37</v>
      </c>
      <c r="D531" s="5"/>
      <c r="E531" s="5"/>
      <c r="F531" s="5"/>
      <c r="G531" s="5"/>
      <c r="Z531">
        <f t="shared" si="17"/>
        <v>1</v>
      </c>
    </row>
    <row r="532" spans="1:26" x14ac:dyDescent="0.25">
      <c r="A532" t="str">
        <f t="shared" si="16"/>
        <v>00 STATUS - PLAYING</v>
      </c>
      <c r="B532" t="s">
        <v>36</v>
      </c>
      <c r="D532" s="5"/>
      <c r="E532" s="5"/>
      <c r="F532" s="5"/>
      <c r="G532" s="5"/>
      <c r="Z532">
        <f t="shared" si="17"/>
        <v>0</v>
      </c>
    </row>
    <row r="533" spans="1:26" x14ac:dyDescent="0.25">
      <c r="A533" t="str">
        <f t="shared" si="16"/>
        <v>84 REQUEST MORE TEXT FIELDS - SEND MAGAZINE INFO</v>
      </c>
      <c r="B533" t="s">
        <v>14</v>
      </c>
      <c r="D533" s="5"/>
      <c r="E533" s="5"/>
      <c r="F533" s="5"/>
      <c r="G533" s="5"/>
      <c r="Z533">
        <f t="shared" si="17"/>
        <v>1</v>
      </c>
    </row>
    <row r="534" spans="1:26" x14ac:dyDescent="0.25">
      <c r="A534" t="str">
        <f t="shared" si="16"/>
        <v>01 MASTER REQUEST - TIME POLL</v>
      </c>
      <c r="B534" t="s">
        <v>35</v>
      </c>
      <c r="D534" s="5"/>
      <c r="E534" s="5"/>
      <c r="F534" s="5"/>
      <c r="G534" s="5"/>
      <c r="Z534">
        <f t="shared" si="17"/>
        <v>0</v>
      </c>
    </row>
    <row r="535" spans="1:26" x14ac:dyDescent="0.25">
      <c r="A535" t="str">
        <f t="shared" si="16"/>
        <v>00 STATUS - PLAYING</v>
      </c>
      <c r="B535" t="s">
        <v>36</v>
      </c>
      <c r="D535" s="5"/>
      <c r="E535" s="5"/>
      <c r="F535" s="5"/>
      <c r="G535" s="5"/>
      <c r="Z535">
        <f t="shared" si="17"/>
        <v>0</v>
      </c>
    </row>
    <row r="536" spans="1:26" x14ac:dyDescent="0.25">
      <c r="A536" t="str">
        <f t="shared" si="16"/>
        <v>84 REQUEST MORE TEXT FIELDS - SEND DISC INFO</v>
      </c>
      <c r="B536" t="s">
        <v>17</v>
      </c>
      <c r="D536" s="5"/>
      <c r="E536" s="5"/>
      <c r="F536" s="5"/>
      <c r="G536" s="5"/>
      <c r="Z536">
        <f t="shared" si="17"/>
        <v>1</v>
      </c>
    </row>
    <row r="537" spans="1:26" x14ac:dyDescent="0.25">
      <c r="A537" t="str">
        <f t="shared" si="16"/>
        <v>01 MASTER REQUEST - SLAVE POLL</v>
      </c>
      <c r="B537" t="s">
        <v>37</v>
      </c>
      <c r="D537" s="5"/>
      <c r="E537" s="5"/>
      <c r="F537" s="5"/>
      <c r="G537" s="5"/>
      <c r="Z537">
        <f t="shared" si="17"/>
        <v>0</v>
      </c>
    </row>
    <row r="538" spans="1:26" x14ac:dyDescent="0.25">
      <c r="A538" t="str">
        <f t="shared" si="16"/>
        <v>95 MAGAZINE INFO - CD1 YES, CD2 YES, CD3 NO, CD4 NO, CD5 NO, CD6 NO</v>
      </c>
      <c r="B538" t="s">
        <v>38</v>
      </c>
      <c r="D538" s="5"/>
      <c r="E538" s="5"/>
      <c r="F538" s="5"/>
      <c r="G538" s="5"/>
      <c r="Z538">
        <f t="shared" si="17"/>
        <v>0</v>
      </c>
    </row>
    <row r="539" spans="1:26" x14ac:dyDescent="0.25">
      <c r="A539" t="str">
        <f t="shared" si="16"/>
        <v>01 MASTER REQUEST - SLAVE POLL</v>
      </c>
      <c r="B539" t="s">
        <v>37</v>
      </c>
      <c r="D539" s="5"/>
      <c r="E539" s="5"/>
      <c r="F539" s="5"/>
      <c r="G539" s="5"/>
      <c r="Z539">
        <f t="shared" si="17"/>
        <v>1</v>
      </c>
    </row>
    <row r="540" spans="1:26" x14ac:dyDescent="0.25">
      <c r="A540" t="str">
        <f t="shared" si="16"/>
        <v>97 DISC INFO - TRACKS: 69, MINS: 88, SECS: 00, DISC: 2</v>
      </c>
      <c r="B540" t="s">
        <v>39</v>
      </c>
      <c r="D540" s="5"/>
      <c r="E540" s="5"/>
      <c r="F540" s="5"/>
      <c r="G540" s="5"/>
      <c r="Z540">
        <f t="shared" si="17"/>
        <v>0</v>
      </c>
    </row>
    <row r="541" spans="1:26" x14ac:dyDescent="0.25">
      <c r="A541" t="str">
        <f t="shared" si="16"/>
        <v>01 MASTER REQUEST - SLAVE POLL</v>
      </c>
      <c r="B541" t="s">
        <v>37</v>
      </c>
      <c r="D541" s="5"/>
      <c r="E541" s="5"/>
      <c r="F541" s="5"/>
      <c r="G541" s="5"/>
      <c r="Z541">
        <f t="shared" si="17"/>
        <v>1</v>
      </c>
    </row>
    <row r="542" spans="1:26" x14ac:dyDescent="0.25">
      <c r="A542" t="str">
        <f t="shared" si="16"/>
        <v>90 TIME- TRACK: 02, 00:48, DISC: 2</v>
      </c>
      <c r="B542" t="s">
        <v>101</v>
      </c>
      <c r="D542" s="5"/>
      <c r="E542" s="5"/>
      <c r="F542" s="5"/>
      <c r="G542" s="5"/>
      <c r="Z542">
        <f t="shared" si="17"/>
        <v>0</v>
      </c>
    </row>
    <row r="543" spans="1:26" x14ac:dyDescent="0.25">
      <c r="A543" t="str">
        <f t="shared" si="16"/>
        <v>01 MASTER REQUEST - SLAVE POLL</v>
      </c>
      <c r="B543" t="s">
        <v>37</v>
      </c>
      <c r="D543" s="5"/>
      <c r="E543" s="5"/>
      <c r="F543" s="5"/>
      <c r="G543" s="5"/>
      <c r="Z543">
        <f t="shared" si="17"/>
        <v>1</v>
      </c>
    </row>
    <row r="544" spans="1:26" x14ac:dyDescent="0.25">
      <c r="A544" t="str">
        <f t="shared" si="16"/>
        <v>00 STATUS - PLAYING</v>
      </c>
      <c r="B544" t="s">
        <v>36</v>
      </c>
      <c r="D544" s="5"/>
      <c r="E544" s="5"/>
      <c r="F544" s="5"/>
      <c r="G544" s="5"/>
      <c r="Z544">
        <f t="shared" si="17"/>
        <v>0</v>
      </c>
    </row>
    <row r="545" spans="26:26" x14ac:dyDescent="0.25">
      <c r="Z545">
        <f t="shared" si="17"/>
        <v>1</v>
      </c>
    </row>
  </sheetData>
  <conditionalFormatting sqref="B2:B544">
    <cfRule type="expression" dxfId="19" priority="23">
      <formula>EXACT(Z3,1)</formula>
    </cfRule>
    <cfRule type="expression" dxfId="18" priority="24">
      <formula>NOT(EXACT(Z3,1))</formula>
    </cfRule>
  </conditionalFormatting>
  <conditionalFormatting sqref="F5">
    <cfRule type="expression" dxfId="17" priority="6">
      <formula>NOT(EXACT(#REF!,1))</formula>
    </cfRule>
    <cfRule type="expression" dxfId="16" priority="7">
      <formula>EXACT(#REF!,1)</formula>
    </cfRule>
  </conditionalFormatting>
  <conditionalFormatting sqref="I166">
    <cfRule type="expression" dxfId="15" priority="4">
      <formula>EXACT(AG167,1)</formula>
    </cfRule>
    <cfRule type="expression" dxfId="14" priority="5">
      <formula>NOT(EXACT(AG167,1))</formula>
    </cfRule>
  </conditionalFormatting>
  <conditionalFormatting sqref="A2:A544">
    <cfRule type="containsText" dxfId="13" priority="3" operator="containsText" text="90 STATUS">
      <formula>NOT(ISERROR(SEARCH("90 STATUS",A2)))</formula>
    </cfRule>
    <cfRule type="containsText" dxfId="12" priority="2" operator="containsText" text="B0 CHANGE">
      <formula>NOT(ISERROR(SEARCH("B0 CHANGE",A2)))</formula>
    </cfRule>
    <cfRule type="containsText" dxfId="11" priority="1" operator="containsText" text="97 DISC">
      <formula>NOT(ISERROR(SEARCH("97 DISC",A2)))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928"/>
  <sheetViews>
    <sheetView workbookViewId="0">
      <selection activeCell="D1" sqref="D1"/>
    </sheetView>
  </sheetViews>
  <sheetFormatPr baseColWidth="10" defaultRowHeight="15" x14ac:dyDescent="0.25"/>
  <cols>
    <col min="1" max="1" width="78.140625" customWidth="1"/>
    <col min="2" max="2" width="76.140625" customWidth="1"/>
  </cols>
  <sheetData>
    <row r="1" spans="1:3" x14ac:dyDescent="0.25">
      <c r="A1" t="str">
        <f>ParseUnilink(B1)</f>
        <v>01 MASTER REQUEST - BUS RESET</v>
      </c>
      <c r="B1" t="s">
        <v>108</v>
      </c>
      <c r="C1" s="7" t="s">
        <v>163</v>
      </c>
    </row>
    <row r="2" spans="1:3" x14ac:dyDescent="0.25">
      <c r="A2" t="str">
        <f t="shared" ref="A2:A65" si="0">ParseUnilink(B2)</f>
        <v>01 MASTER REQUEST - ANYONE?</v>
      </c>
      <c r="B2" t="s">
        <v>1</v>
      </c>
    </row>
    <row r="3" spans="1:3" x14ac:dyDescent="0.25">
      <c r="A3" t="str">
        <f t="shared" si="0"/>
        <v>8C DEVICE INFO</v>
      </c>
      <c r="B3" t="s">
        <v>123</v>
      </c>
    </row>
    <row r="4" spans="1:3" x14ac:dyDescent="0.25">
      <c r="A4" t="str">
        <f t="shared" si="0"/>
        <v>02 CONFIG FROM MASTER - TELL SLAVE ABOUT ASSIGNED ID</v>
      </c>
      <c r="B4" t="s">
        <v>5</v>
      </c>
    </row>
    <row r="5" spans="1:3" x14ac:dyDescent="0.25">
      <c r="A5" t="str">
        <f t="shared" si="0"/>
        <v>8C DEVICE INFO</v>
      </c>
      <c r="B5" t="s">
        <v>109</v>
      </c>
    </row>
    <row r="6" spans="1:3" x14ac:dyDescent="0.25">
      <c r="A6" t="str">
        <f t="shared" si="0"/>
        <v>01 MASTER REQUEST - APPOINT END</v>
      </c>
      <c r="B6" t="s">
        <v>124</v>
      </c>
    </row>
    <row r="7" spans="1:3" x14ac:dyDescent="0.25">
      <c r="A7" t="str">
        <f t="shared" si="0"/>
        <v>01 MASTER REQUEST - ???</v>
      </c>
      <c r="B7" t="s">
        <v>110</v>
      </c>
    </row>
    <row r="8" spans="1:3" x14ac:dyDescent="0.25">
      <c r="A8" t="str">
        <f t="shared" si="0"/>
        <v>88 FROM MASTER TO GROUP ID AFTER ANYONE SPECIAL</v>
      </c>
      <c r="B8" t="s">
        <v>111</v>
      </c>
    </row>
    <row r="9" spans="1:3" x14ac:dyDescent="0.25">
      <c r="A9" t="str">
        <f t="shared" si="0"/>
        <v>F0 SWITCH SOURCE</v>
      </c>
      <c r="B9" t="s">
        <v>125</v>
      </c>
    </row>
    <row r="10" spans="1:3" x14ac:dyDescent="0.25">
      <c r="A10" t="str">
        <f t="shared" si="0"/>
        <v>21 SWITCH TO - ???</v>
      </c>
      <c r="B10" t="s">
        <v>113</v>
      </c>
    </row>
    <row r="11" spans="1:3" x14ac:dyDescent="0.25">
      <c r="A11" t="str">
        <f t="shared" si="0"/>
        <v>20 PLAY (FROM MASTER)</v>
      </c>
      <c r="B11" t="s">
        <v>114</v>
      </c>
    </row>
    <row r="12" spans="1:3" x14ac:dyDescent="0.25">
      <c r="A12" t="str">
        <f t="shared" si="0"/>
        <v>84 REQUEST MORE TEXT FIELDS - SEND MAGAZINE INFO</v>
      </c>
      <c r="B12" t="s">
        <v>115</v>
      </c>
    </row>
    <row r="13" spans="1:3" x14ac:dyDescent="0.25">
      <c r="A13" t="str">
        <f t="shared" si="0"/>
        <v>01 MASTER REQUEST - TIME POLL</v>
      </c>
      <c r="B13" t="s">
        <v>35</v>
      </c>
    </row>
    <row r="14" spans="1:3" x14ac:dyDescent="0.25">
      <c r="A14" t="str">
        <f t="shared" si="0"/>
        <v>00 STATUS - CHANGING CD</v>
      </c>
      <c r="B14" t="s">
        <v>116</v>
      </c>
    </row>
    <row r="15" spans="1:3" x14ac:dyDescent="0.25">
      <c r="A15" t="str">
        <f t="shared" si="0"/>
        <v>84 REQUEST MORE TEXT FIELDS - SEND DISC INFO</v>
      </c>
      <c r="B15" t="s">
        <v>120</v>
      </c>
    </row>
    <row r="16" spans="1:3" x14ac:dyDescent="0.25">
      <c r="A16" t="str">
        <f t="shared" si="0"/>
        <v>01 MASTER REQUEST - SLAVE POLL</v>
      </c>
      <c r="B16" t="s">
        <v>18</v>
      </c>
    </row>
    <row r="17" spans="1:2" x14ac:dyDescent="0.25">
      <c r="A17" t="str">
        <f t="shared" si="0"/>
        <v>95 MAGAZINE INFO - CD1 NO, CD2 NO, CD3 NO, CD4 NO, CD5 NO, CD6 NO</v>
      </c>
      <c r="B17" t="s">
        <v>138</v>
      </c>
    </row>
    <row r="18" spans="1:2" x14ac:dyDescent="0.25">
      <c r="A18" t="str">
        <f t="shared" si="0"/>
        <v>01 MASTER REQUEST - SLAVE POLL</v>
      </c>
      <c r="B18" t="s">
        <v>18</v>
      </c>
    </row>
    <row r="19" spans="1:2" x14ac:dyDescent="0.25">
      <c r="A19" t="str">
        <f t="shared" si="0"/>
        <v>01 MASTER REQUEST - SLAVE POLL</v>
      </c>
      <c r="B19" t="s">
        <v>18</v>
      </c>
    </row>
    <row r="20" spans="1:2" x14ac:dyDescent="0.25">
      <c r="A20" t="str">
        <f t="shared" si="0"/>
        <v>9C - AFTER DISC CHANGE TO MASTER</v>
      </c>
      <c r="B20" t="s">
        <v>149</v>
      </c>
    </row>
    <row r="21" spans="1:2" x14ac:dyDescent="0.25">
      <c r="A21" t="str">
        <f t="shared" si="0"/>
        <v>01 MASTER REQUEST - SLAVE POLL</v>
      </c>
      <c r="B21" t="s">
        <v>18</v>
      </c>
    </row>
    <row r="22" spans="1:2" x14ac:dyDescent="0.25">
      <c r="A22" t="str">
        <f t="shared" si="0"/>
        <v>97 DISC INFO - TRACKS: 99, MINS: 00, SECS: 00, DISC: 1</v>
      </c>
      <c r="B22" t="s">
        <v>137</v>
      </c>
    </row>
    <row r="23" spans="1:2" x14ac:dyDescent="0.25">
      <c r="A23" t="str">
        <f t="shared" si="0"/>
        <v>84 REQUEST MORE TEXT FIELDS - SEND MAGAZINE INFO</v>
      </c>
      <c r="B23" t="s">
        <v>115</v>
      </c>
    </row>
    <row r="24" spans="1:2" x14ac:dyDescent="0.25">
      <c r="A24" t="str">
        <f t="shared" si="0"/>
        <v>00 STATUS - CHANGING CD</v>
      </c>
      <c r="B24" t="s">
        <v>116</v>
      </c>
    </row>
    <row r="25" spans="1:2" x14ac:dyDescent="0.25">
      <c r="A25" t="str">
        <f t="shared" si="0"/>
        <v>84 REQUEST MORE TEXT FIELDS - SEND DISC INFO</v>
      </c>
      <c r="B25" t="s">
        <v>120</v>
      </c>
    </row>
    <row r="26" spans="1:2" x14ac:dyDescent="0.25">
      <c r="A26" t="str">
        <f t="shared" si="0"/>
        <v>95 MAGAZINE INFO - CD1 NO, CD2 NO, CD3 NO, CD4 NO, CD5 NO, CD6 NO</v>
      </c>
      <c r="B26" t="s">
        <v>138</v>
      </c>
    </row>
    <row r="27" spans="1:2" x14ac:dyDescent="0.25">
      <c r="A27" t="str">
        <f t="shared" si="0"/>
        <v>01 MASTER REQUEST - SLAVE POLL</v>
      </c>
      <c r="B27" t="s">
        <v>18</v>
      </c>
    </row>
    <row r="28" spans="1:2" x14ac:dyDescent="0.25">
      <c r="A28" t="str">
        <f t="shared" si="0"/>
        <v>97 DISC INFO - TRACKS: 99, MINS: 00, SECS: 00, DISC: 1</v>
      </c>
      <c r="B28" t="s">
        <v>137</v>
      </c>
    </row>
    <row r="29" spans="1:2" x14ac:dyDescent="0.25">
      <c r="A29" t="str">
        <f t="shared" si="0"/>
        <v>01 MASTER REQUEST - SLAVE POLL</v>
      </c>
      <c r="B29" t="s">
        <v>18</v>
      </c>
    </row>
    <row r="30" spans="1:2" x14ac:dyDescent="0.25">
      <c r="A30" t="str">
        <f t="shared" si="0"/>
        <v>84 REQUEST MORE TEXT FIELDS - SEND MAGAZINE INFO</v>
      </c>
      <c r="B30" t="s">
        <v>115</v>
      </c>
    </row>
    <row r="31" spans="1:2" x14ac:dyDescent="0.25">
      <c r="A31" t="str">
        <f t="shared" si="0"/>
        <v>01 MASTER REQUEST - TIME POLL</v>
      </c>
      <c r="B31" t="s">
        <v>35</v>
      </c>
    </row>
    <row r="32" spans="1:2" x14ac:dyDescent="0.25">
      <c r="A32" t="str">
        <f t="shared" si="0"/>
        <v>00 STATUS - CHANGING CD</v>
      </c>
      <c r="B32" t="s">
        <v>116</v>
      </c>
    </row>
    <row r="33" spans="1:2" x14ac:dyDescent="0.25">
      <c r="A33" t="str">
        <f t="shared" si="0"/>
        <v>84 REQUEST MORE TEXT FIELDS - SEND DISC INFO</v>
      </c>
      <c r="B33" t="s">
        <v>120</v>
      </c>
    </row>
    <row r="34" spans="1:2" x14ac:dyDescent="0.25">
      <c r="A34" t="str">
        <f t="shared" si="0"/>
        <v>01 MASTER REQUEST - SLAVE POLL</v>
      </c>
      <c r="B34" t="s">
        <v>18</v>
      </c>
    </row>
    <row r="35" spans="1:2" x14ac:dyDescent="0.25">
      <c r="A35" t="str">
        <f t="shared" si="0"/>
        <v>95 MAGAZINE INFO - CD1 NO, CD2 NO, CD3 NO, CD4 NO, CD5 NO, CD6 NO</v>
      </c>
      <c r="B35" t="s">
        <v>138</v>
      </c>
    </row>
    <row r="36" spans="1:2" x14ac:dyDescent="0.25">
      <c r="A36" t="str">
        <f t="shared" si="0"/>
        <v>01 MASTER REQUEST - SLAVE POLL</v>
      </c>
      <c r="B36" t="s">
        <v>18</v>
      </c>
    </row>
    <row r="37" spans="1:2" x14ac:dyDescent="0.25">
      <c r="A37" t="str">
        <f t="shared" si="0"/>
        <v>97 DISC INFO - TRACKS: 99, MINS: 00, SECS: 00, DISC: 1</v>
      </c>
      <c r="B37" t="s">
        <v>137</v>
      </c>
    </row>
    <row r="38" spans="1:2" x14ac:dyDescent="0.25">
      <c r="A38" t="str">
        <f t="shared" si="0"/>
        <v>01 MASTER REQUEST - SLAVE POLL</v>
      </c>
      <c r="B38" t="s">
        <v>18</v>
      </c>
    </row>
    <row r="39" spans="1:2" x14ac:dyDescent="0.25">
      <c r="A39" t="str">
        <f t="shared" si="0"/>
        <v>84 REQUEST MORE TEXT FIELDS - SEND MAGAZINE INFO</v>
      </c>
      <c r="B39" t="s">
        <v>115</v>
      </c>
    </row>
    <row r="40" spans="1:2" x14ac:dyDescent="0.25">
      <c r="A40" t="str">
        <f t="shared" si="0"/>
        <v>00 STATUS - CHANGED CD</v>
      </c>
      <c r="B40" t="s">
        <v>121</v>
      </c>
    </row>
    <row r="41" spans="1:2" x14ac:dyDescent="0.25">
      <c r="A41" t="str">
        <f t="shared" si="0"/>
        <v>84 REQUEST MORE TEXT FIELDS - SEND DISC INFO</v>
      </c>
      <c r="B41" t="s">
        <v>120</v>
      </c>
    </row>
    <row r="42" spans="1:2" x14ac:dyDescent="0.25">
      <c r="A42" t="str">
        <f t="shared" si="0"/>
        <v>08 KEY RELEASED</v>
      </c>
      <c r="B42" t="s">
        <v>118</v>
      </c>
    </row>
    <row r="43" spans="1:2" x14ac:dyDescent="0.25">
      <c r="A43" t="str">
        <f t="shared" si="0"/>
        <v>01 MASTER REQUEST - SLAVE POLL</v>
      </c>
      <c r="B43" t="s">
        <v>18</v>
      </c>
    </row>
    <row r="44" spans="1:2" x14ac:dyDescent="0.25">
      <c r="A44" t="str">
        <f t="shared" si="0"/>
        <v>95 MAGAZINE INFO - CD1 NO, CD2 NO, CD3 NO, CD4 NO, CD5 NO, CD6 NO</v>
      </c>
      <c r="B44" t="s">
        <v>138</v>
      </c>
    </row>
    <row r="45" spans="1:2" x14ac:dyDescent="0.25">
      <c r="A45" t="str">
        <f t="shared" si="0"/>
        <v>84 REQUEST MORE TEXT FIELDS - SEND MAGAZINE INFO</v>
      </c>
      <c r="B45" t="s">
        <v>115</v>
      </c>
    </row>
    <row r="46" spans="1:2" x14ac:dyDescent="0.25">
      <c r="A46" t="str">
        <f t="shared" si="0"/>
        <v>01 MASTER REQUEST - TIME POLL</v>
      </c>
      <c r="B46" t="s">
        <v>35</v>
      </c>
    </row>
    <row r="47" spans="1:2" x14ac:dyDescent="0.25">
      <c r="A47" t="str">
        <f t="shared" si="0"/>
        <v>00 STATUS - IDLE</v>
      </c>
      <c r="B47" t="s">
        <v>126</v>
      </c>
    </row>
    <row r="48" spans="1:2" x14ac:dyDescent="0.25">
      <c r="A48" t="str">
        <f t="shared" si="0"/>
        <v>84 REQUEST MORE TEXT FIELDS - SEND DISC INFO</v>
      </c>
      <c r="B48" t="s">
        <v>120</v>
      </c>
    </row>
    <row r="49" spans="1:2" x14ac:dyDescent="0.25">
      <c r="A49" t="str">
        <f t="shared" si="0"/>
        <v>01 MASTER REQUEST - SLAVE POLL</v>
      </c>
      <c r="B49" t="s">
        <v>18</v>
      </c>
    </row>
    <row r="50" spans="1:2" x14ac:dyDescent="0.25">
      <c r="A50" t="str">
        <f t="shared" si="0"/>
        <v>95 MAGAZINE INFO - CD1 NO, CD2 NO, CD3 NO, CD4 NO, CD5 NO, CD6 NO</v>
      </c>
      <c r="B50" t="s">
        <v>138</v>
      </c>
    </row>
    <row r="51" spans="1:2" x14ac:dyDescent="0.25">
      <c r="A51" t="str">
        <f t="shared" si="0"/>
        <v>01 MASTER REQUEST - SLAVE POLL</v>
      </c>
      <c r="B51" t="s">
        <v>18</v>
      </c>
    </row>
    <row r="52" spans="1:2" x14ac:dyDescent="0.25">
      <c r="A52" t="str">
        <f t="shared" si="0"/>
        <v>97 DISC INFO - TRACKS: 99, MINS: 00, SECS: 00, DISC: 1</v>
      </c>
      <c r="B52" t="s">
        <v>137</v>
      </c>
    </row>
    <row r="53" spans="1:2" x14ac:dyDescent="0.25">
      <c r="A53" t="str">
        <f t="shared" si="0"/>
        <v>01 MASTER REQUEST - TIME POLL</v>
      </c>
      <c r="B53" t="s">
        <v>35</v>
      </c>
    </row>
    <row r="54" spans="1:2" x14ac:dyDescent="0.25">
      <c r="A54" t="str">
        <f t="shared" si="0"/>
        <v>00 STATUS - IDLE</v>
      </c>
      <c r="B54" t="s">
        <v>126</v>
      </c>
    </row>
    <row r="55" spans="1:2" x14ac:dyDescent="0.25">
      <c r="A55" t="str">
        <f t="shared" si="0"/>
        <v>84 REQUEST MORE TEXT FIELDS - SEND DISC INFO</v>
      </c>
      <c r="B55" t="s">
        <v>120</v>
      </c>
    </row>
    <row r="56" spans="1:2" x14ac:dyDescent="0.25">
      <c r="A56" t="str">
        <f t="shared" si="0"/>
        <v>01 MASTER REQUEST - SLAVE POLL</v>
      </c>
      <c r="B56" t="s">
        <v>18</v>
      </c>
    </row>
    <row r="57" spans="1:2" x14ac:dyDescent="0.25">
      <c r="A57" t="str">
        <f t="shared" si="0"/>
        <v>95 MAGAZINE INFO - CD1 NO, CD2 NO, CD3 NO, CD4 NO, CD5 NO, CD6 NO</v>
      </c>
      <c r="B57" t="s">
        <v>138</v>
      </c>
    </row>
    <row r="58" spans="1:2" x14ac:dyDescent="0.25">
      <c r="A58" t="str">
        <f t="shared" si="0"/>
        <v>01 MASTER REQUEST - SLAVE POLL</v>
      </c>
      <c r="B58" t="s">
        <v>18</v>
      </c>
    </row>
    <row r="59" spans="1:2" x14ac:dyDescent="0.25">
      <c r="A59" t="str">
        <f t="shared" si="0"/>
        <v>97 DISC INFO - TRACKS: 99, MINS: 00, SECS: 00, DISC: 1</v>
      </c>
      <c r="B59" t="s">
        <v>137</v>
      </c>
    </row>
    <row r="60" spans="1:2" x14ac:dyDescent="0.25">
      <c r="A60" t="str">
        <f t="shared" si="0"/>
        <v>84 REQUEST MORE TEXT FIELDS - SEND MAGAZINE INFO</v>
      </c>
      <c r="B60" t="s">
        <v>115</v>
      </c>
    </row>
    <row r="61" spans="1:2" x14ac:dyDescent="0.25">
      <c r="A61" t="str">
        <f t="shared" si="0"/>
        <v>01 MASTER REQUEST - TIME POLL</v>
      </c>
      <c r="B61" t="s">
        <v>35</v>
      </c>
    </row>
    <row r="62" spans="1:2" x14ac:dyDescent="0.25">
      <c r="A62" t="str">
        <f t="shared" si="0"/>
        <v>00 STATUS - IDLE</v>
      </c>
      <c r="B62" t="s">
        <v>126</v>
      </c>
    </row>
    <row r="63" spans="1:2" x14ac:dyDescent="0.25">
      <c r="A63" t="str">
        <f t="shared" si="0"/>
        <v>84 REQUEST MORE TEXT FIELDS - SEND DISC INFO</v>
      </c>
      <c r="B63" t="s">
        <v>120</v>
      </c>
    </row>
    <row r="64" spans="1:2" x14ac:dyDescent="0.25">
      <c r="A64" t="str">
        <f t="shared" si="0"/>
        <v>95 MAGAZINE INFO - CD1 NO, CD2 NO, CD3 NO, CD4 NO, CD5 NO, CD6 NO</v>
      </c>
      <c r="B64" t="s">
        <v>138</v>
      </c>
    </row>
    <row r="65" spans="1:2" x14ac:dyDescent="0.25">
      <c r="A65" t="str">
        <f t="shared" si="0"/>
        <v>01 MASTER REQUEST - SLAVE POLL</v>
      </c>
      <c r="B65" t="s">
        <v>18</v>
      </c>
    </row>
    <row r="66" spans="1:2" x14ac:dyDescent="0.25">
      <c r="A66" t="str">
        <f t="shared" ref="A66:A129" si="1">ParseUnilink(B66)</f>
        <v>97 DISC INFO - TRACKS: 99, MINS: 00, SECS: 00, DISC: 1</v>
      </c>
      <c r="B66" t="s">
        <v>137</v>
      </c>
    </row>
    <row r="67" spans="1:2" x14ac:dyDescent="0.25">
      <c r="A67" t="str">
        <f t="shared" si="1"/>
        <v>84 REQUEST MORE TEXT FIELDS - SEND MAGAZINE INFO</v>
      </c>
      <c r="B67" t="s">
        <v>115</v>
      </c>
    </row>
    <row r="68" spans="1:2" x14ac:dyDescent="0.25">
      <c r="A68" t="str">
        <f t="shared" si="1"/>
        <v>01 MASTER REQUEST - TIME POLL</v>
      </c>
      <c r="B68" t="s">
        <v>35</v>
      </c>
    </row>
    <row r="69" spans="1:2" x14ac:dyDescent="0.25">
      <c r="A69" t="str">
        <f t="shared" si="1"/>
        <v>00 STATUS - IDLE</v>
      </c>
      <c r="B69" t="s">
        <v>126</v>
      </c>
    </row>
    <row r="70" spans="1:2" x14ac:dyDescent="0.25">
      <c r="A70" t="str">
        <f t="shared" si="1"/>
        <v>84 REQUEST MORE TEXT FIELDS - SEND DISC INFO</v>
      </c>
      <c r="B70" t="s">
        <v>120</v>
      </c>
    </row>
    <row r="71" spans="1:2" x14ac:dyDescent="0.25">
      <c r="A71" t="str">
        <f t="shared" si="1"/>
        <v>01 MASTER REQUEST - SLAVE POLL</v>
      </c>
      <c r="B71" t="s">
        <v>18</v>
      </c>
    </row>
    <row r="72" spans="1:2" x14ac:dyDescent="0.25">
      <c r="A72" t="str">
        <f t="shared" si="1"/>
        <v>95 MAGAZINE INFO - CD1 NO, CD2 NO, CD3 NO, CD4 NO, CD5 NO, CD6 NO</v>
      </c>
      <c r="B72" t="s">
        <v>138</v>
      </c>
    </row>
    <row r="73" spans="1:2" x14ac:dyDescent="0.25">
      <c r="A73" t="str">
        <f t="shared" si="1"/>
        <v>01 MASTER REQUEST - SLAVE POLL</v>
      </c>
      <c r="B73" t="s">
        <v>18</v>
      </c>
    </row>
    <row r="74" spans="1:2" x14ac:dyDescent="0.25">
      <c r="A74" t="str">
        <f t="shared" si="1"/>
        <v>97 DISC INFO - TRACKS: 16, MINS: 79, SECS: 36, DISC: 1</v>
      </c>
      <c r="B74" t="s">
        <v>139</v>
      </c>
    </row>
    <row r="75" spans="1:2" x14ac:dyDescent="0.25">
      <c r="A75" t="str">
        <f t="shared" si="1"/>
        <v>95 MAGAZINE INFO - CD1 YES, CD2 NO, CD3 NO, CD4 NO, CD5 NO, CD6 NO</v>
      </c>
      <c r="B75" t="s">
        <v>150</v>
      </c>
    </row>
    <row r="76" spans="1:2" x14ac:dyDescent="0.25">
      <c r="A76" t="str">
        <f t="shared" si="1"/>
        <v>01 MASTER REQUEST - SLAVE POLL</v>
      </c>
      <c r="B76" t="s">
        <v>18</v>
      </c>
    </row>
    <row r="77" spans="1:2" x14ac:dyDescent="0.25">
      <c r="A77" t="str">
        <f t="shared" si="1"/>
        <v>00 STATUS - IDLE</v>
      </c>
      <c r="B77" t="s">
        <v>126</v>
      </c>
    </row>
    <row r="78" spans="1:2" x14ac:dyDescent="0.25">
      <c r="A78" t="str">
        <f t="shared" si="1"/>
        <v>84 REQUEST MORE TEXT FIELDS - SEND MAGAZINE INFO</v>
      </c>
      <c r="B78" t="s">
        <v>115</v>
      </c>
    </row>
    <row r="79" spans="1:2" x14ac:dyDescent="0.25">
      <c r="A79" t="str">
        <f t="shared" si="1"/>
        <v>01 MASTER REQUEST - TIME POLL</v>
      </c>
      <c r="B79" t="s">
        <v>35</v>
      </c>
    </row>
    <row r="80" spans="1:2" x14ac:dyDescent="0.25">
      <c r="A80" t="str">
        <f t="shared" si="1"/>
        <v>00 STATUS - IDLE</v>
      </c>
      <c r="B80" t="s">
        <v>126</v>
      </c>
    </row>
    <row r="81" spans="1:2" x14ac:dyDescent="0.25">
      <c r="A81" t="str">
        <f t="shared" si="1"/>
        <v>84 REQUEST MORE TEXT FIELDS - SEND DISC INFO</v>
      </c>
      <c r="B81" t="s">
        <v>120</v>
      </c>
    </row>
    <row r="82" spans="1:2" x14ac:dyDescent="0.25">
      <c r="A82" t="str">
        <f t="shared" si="1"/>
        <v>01 MASTER REQUEST - SLAVE POLL</v>
      </c>
      <c r="B82" t="s">
        <v>18</v>
      </c>
    </row>
    <row r="83" spans="1:2" x14ac:dyDescent="0.25">
      <c r="A83" t="str">
        <f t="shared" si="1"/>
        <v>95 MAGAZINE INFO - CD1 YES, CD2 NO, CD3 NO, CD4 NO, CD5 NO, CD6 NO</v>
      </c>
      <c r="B83" t="s">
        <v>140</v>
      </c>
    </row>
    <row r="84" spans="1:2" x14ac:dyDescent="0.25">
      <c r="A84" t="str">
        <f t="shared" si="1"/>
        <v>01 MASTER REQUEST - SLAVE POLL</v>
      </c>
      <c r="B84" t="s">
        <v>18</v>
      </c>
    </row>
    <row r="85" spans="1:2" x14ac:dyDescent="0.25">
      <c r="A85" t="str">
        <f t="shared" si="1"/>
        <v>84 REQUEST MORE TEXT FIELDS - SEND MAGAZINE INFO</v>
      </c>
      <c r="B85" t="s">
        <v>115</v>
      </c>
    </row>
    <row r="86" spans="1:2" x14ac:dyDescent="0.25">
      <c r="A86" t="str">
        <f t="shared" si="1"/>
        <v>01 MASTER REQUEST - TIME POLL</v>
      </c>
      <c r="B86" t="s">
        <v>35</v>
      </c>
    </row>
    <row r="87" spans="1:2" x14ac:dyDescent="0.25">
      <c r="A87" t="str">
        <f t="shared" si="1"/>
        <v>00 STATUS - IDLE</v>
      </c>
      <c r="B87" t="s">
        <v>126</v>
      </c>
    </row>
    <row r="88" spans="1:2" x14ac:dyDescent="0.25">
      <c r="A88" t="str">
        <f t="shared" si="1"/>
        <v>84 REQUEST MORE TEXT FIELDS - SEND DISC INFO</v>
      </c>
      <c r="B88" t="s">
        <v>120</v>
      </c>
    </row>
    <row r="89" spans="1:2" x14ac:dyDescent="0.25">
      <c r="A89" t="str">
        <f t="shared" si="1"/>
        <v>01 MASTER REQUEST - SLAVE POLL</v>
      </c>
      <c r="B89" t="s">
        <v>18</v>
      </c>
    </row>
    <row r="90" spans="1:2" x14ac:dyDescent="0.25">
      <c r="A90" t="str">
        <f t="shared" si="1"/>
        <v>95 MAGAZINE INFO - CD1 YES, CD2 NO, CD3 NO, CD4 NO, CD5 NO, CD6 NO</v>
      </c>
      <c r="B90" t="s">
        <v>140</v>
      </c>
    </row>
    <row r="91" spans="1:2" x14ac:dyDescent="0.25">
      <c r="A91" t="str">
        <f t="shared" si="1"/>
        <v>01 MASTER REQUEST - SLAVE POLL</v>
      </c>
      <c r="B91" t="s">
        <v>18</v>
      </c>
    </row>
    <row r="92" spans="1:2" x14ac:dyDescent="0.25">
      <c r="A92" t="str">
        <f t="shared" si="1"/>
        <v>97 DISC INFO - TRACKS: 16, MINS: 79, SECS: 36, DISC: 2</v>
      </c>
      <c r="B92" t="s">
        <v>151</v>
      </c>
    </row>
    <row r="93" spans="1:2" x14ac:dyDescent="0.25">
      <c r="A93" t="str">
        <f t="shared" si="1"/>
        <v>01 MASTER REQUEST - TIME POLL</v>
      </c>
      <c r="B93" t="s">
        <v>35</v>
      </c>
    </row>
    <row r="94" spans="1:2" x14ac:dyDescent="0.25">
      <c r="A94" t="str">
        <f t="shared" si="1"/>
        <v>84 REQUEST MORE TEXT FIELDS - SEND DISC INFO</v>
      </c>
      <c r="B94" t="s">
        <v>120</v>
      </c>
    </row>
    <row r="95" spans="1:2" x14ac:dyDescent="0.25">
      <c r="A95" t="str">
        <f t="shared" si="1"/>
        <v>01 MASTER REQUEST - SLAVE POLL</v>
      </c>
      <c r="B95" t="s">
        <v>18</v>
      </c>
    </row>
    <row r="96" spans="1:2" x14ac:dyDescent="0.25">
      <c r="A96" t="str">
        <f t="shared" si="1"/>
        <v>95 MAGAZINE INFO - CD1 YES, CD2 NO, CD3 NO, CD4 NO, CD5 NO, CD6 NO</v>
      </c>
      <c r="B96" t="s">
        <v>140</v>
      </c>
    </row>
    <row r="97" spans="1:2" x14ac:dyDescent="0.25">
      <c r="A97" t="str">
        <f t="shared" si="1"/>
        <v>01 MASTER REQUEST - SLAVE POLL</v>
      </c>
      <c r="B97" t="s">
        <v>18</v>
      </c>
    </row>
    <row r="98" spans="1:2" x14ac:dyDescent="0.25">
      <c r="A98" t="str">
        <f t="shared" si="1"/>
        <v>97 DISC INFO - TRACKS: 16, MINS: 79, SECS: 36, DISC: 2</v>
      </c>
      <c r="B98" t="s">
        <v>151</v>
      </c>
    </row>
    <row r="99" spans="1:2" x14ac:dyDescent="0.25">
      <c r="A99" t="str">
        <f t="shared" si="1"/>
        <v>01 MASTER REQUEST - TIME POLL</v>
      </c>
      <c r="B99" t="s">
        <v>35</v>
      </c>
    </row>
    <row r="100" spans="1:2" x14ac:dyDescent="0.25">
      <c r="A100" t="str">
        <f t="shared" si="1"/>
        <v>00 STATUS - IDLE</v>
      </c>
      <c r="B100" t="s">
        <v>126</v>
      </c>
    </row>
    <row r="101" spans="1:2" x14ac:dyDescent="0.25">
      <c r="A101" t="str">
        <f t="shared" si="1"/>
        <v>84 REQUEST MORE TEXT FIELDS - SEND DISC INFO</v>
      </c>
      <c r="B101" t="s">
        <v>120</v>
      </c>
    </row>
    <row r="102" spans="1:2" x14ac:dyDescent="0.25">
      <c r="A102" t="str">
        <f t="shared" si="1"/>
        <v>01 MASTER REQUEST - SLAVE POLL</v>
      </c>
      <c r="B102" t="s">
        <v>18</v>
      </c>
    </row>
    <row r="103" spans="1:2" x14ac:dyDescent="0.25">
      <c r="A103" t="str">
        <f t="shared" si="1"/>
        <v>95 MAGAZINE INFO - CD1 YES, CD2 NO, CD3 NO, CD4 NO, CD5 NO, CD6 NO</v>
      </c>
      <c r="B103" t="s">
        <v>140</v>
      </c>
    </row>
    <row r="104" spans="1:2" x14ac:dyDescent="0.25">
      <c r="A104" t="str">
        <f t="shared" si="1"/>
        <v>97 DISC INFO - TRACKS: 16, MINS: 79, SECS: 36, DISC: 2</v>
      </c>
      <c r="B104" t="s">
        <v>151</v>
      </c>
    </row>
    <row r="105" spans="1:2" x14ac:dyDescent="0.25">
      <c r="A105" t="str">
        <f t="shared" si="1"/>
        <v>84 REQUEST MORE TEXT FIELDS - SEND MAGAZINE INFO</v>
      </c>
      <c r="B105" t="s">
        <v>115</v>
      </c>
    </row>
    <row r="106" spans="1:2" x14ac:dyDescent="0.25">
      <c r="A106" t="str">
        <f t="shared" si="1"/>
        <v>01 MASTER REQUEST - TIME POLL</v>
      </c>
      <c r="B106" t="s">
        <v>35</v>
      </c>
    </row>
    <row r="107" spans="1:2" x14ac:dyDescent="0.25">
      <c r="A107" t="str">
        <f t="shared" si="1"/>
        <v>00 STATUS - IDLE</v>
      </c>
      <c r="B107" t="s">
        <v>126</v>
      </c>
    </row>
    <row r="108" spans="1:2" x14ac:dyDescent="0.25">
      <c r="A108" t="str">
        <f t="shared" si="1"/>
        <v>84 REQUEST MORE TEXT FIELDS - SEND DISC INFO</v>
      </c>
      <c r="B108" t="s">
        <v>120</v>
      </c>
    </row>
    <row r="109" spans="1:2" x14ac:dyDescent="0.25">
      <c r="A109" t="str">
        <f t="shared" si="1"/>
        <v>01 MASTER REQUEST - SLAVE POLL</v>
      </c>
      <c r="B109" t="s">
        <v>18</v>
      </c>
    </row>
    <row r="110" spans="1:2" x14ac:dyDescent="0.25">
      <c r="A110" t="str">
        <f t="shared" si="1"/>
        <v>01 MASTER REQUEST - SLAVE POLL</v>
      </c>
      <c r="B110" t="s">
        <v>18</v>
      </c>
    </row>
    <row r="111" spans="1:2" x14ac:dyDescent="0.25">
      <c r="A111" t="str">
        <f t="shared" si="1"/>
        <v>97 DISC INFO - TRACKS: 16, MINS: 79, SECS: 36, DISC: 2</v>
      </c>
      <c r="B111" t="s">
        <v>151</v>
      </c>
    </row>
    <row r="112" spans="1:2" x14ac:dyDescent="0.25">
      <c r="A112" t="str">
        <f t="shared" si="1"/>
        <v>84 REQUEST MORE TEXT FIELDS - SEND MAGAZINE INFO</v>
      </c>
      <c r="B112" t="s">
        <v>115</v>
      </c>
    </row>
    <row r="113" spans="1:2" x14ac:dyDescent="0.25">
      <c r="A113" t="str">
        <f t="shared" si="1"/>
        <v>01 MASTER REQUEST - TIME POLL</v>
      </c>
      <c r="B113" t="s">
        <v>35</v>
      </c>
    </row>
    <row r="114" spans="1:2" x14ac:dyDescent="0.25">
      <c r="A114" t="str">
        <f t="shared" si="1"/>
        <v>00 STATUS - IDLE</v>
      </c>
      <c r="B114" t="s">
        <v>126</v>
      </c>
    </row>
    <row r="115" spans="1:2" x14ac:dyDescent="0.25">
      <c r="A115" t="str">
        <f t="shared" si="1"/>
        <v>84 REQUEST MORE TEXT FIELDS - SEND DISC INFO</v>
      </c>
      <c r="B115" t="s">
        <v>120</v>
      </c>
    </row>
    <row r="116" spans="1:2" x14ac:dyDescent="0.25">
      <c r="A116" t="str">
        <f t="shared" si="1"/>
        <v>01 MASTER REQUEST - SLAVE POLL</v>
      </c>
      <c r="B116" t="s">
        <v>18</v>
      </c>
    </row>
    <row r="117" spans="1:2" x14ac:dyDescent="0.25">
      <c r="A117" t="str">
        <f t="shared" si="1"/>
        <v>95 MAGAZINE INFO - CD1 YES, CD2 NO, CD3 NO, CD4 NO, CD5 NO, CD6 NO</v>
      </c>
      <c r="B117" t="s">
        <v>140</v>
      </c>
    </row>
    <row r="118" spans="1:2" x14ac:dyDescent="0.25">
      <c r="A118" t="str">
        <f t="shared" si="1"/>
        <v>01 MASTER REQUEST - SLAVE POLL</v>
      </c>
      <c r="B118" t="s">
        <v>18</v>
      </c>
    </row>
    <row r="119" spans="1:2" x14ac:dyDescent="0.25">
      <c r="A119" t="str">
        <f t="shared" si="1"/>
        <v>97 DISC INFO - TRACKS: 16, MINS: 79, SECS: 36, DISC: 2</v>
      </c>
      <c r="B119" t="s">
        <v>151</v>
      </c>
    </row>
    <row r="120" spans="1:2" x14ac:dyDescent="0.25">
      <c r="A120" t="str">
        <f t="shared" si="1"/>
        <v>84 REQUEST MORE TEXT FIELDS - SEND MAGAZINE INFO</v>
      </c>
      <c r="B120" t="s">
        <v>115</v>
      </c>
    </row>
    <row r="121" spans="1:2" x14ac:dyDescent="0.25">
      <c r="A121" t="str">
        <f t="shared" si="1"/>
        <v>00 STATUS - IDLE</v>
      </c>
      <c r="B121" t="s">
        <v>126</v>
      </c>
    </row>
    <row r="122" spans="1:2" x14ac:dyDescent="0.25">
      <c r="A122" t="str">
        <f t="shared" si="1"/>
        <v>84 REQUEST MORE TEXT FIELDS - SEND DISC INFO</v>
      </c>
      <c r="B122" t="s">
        <v>120</v>
      </c>
    </row>
    <row r="123" spans="1:2" x14ac:dyDescent="0.25">
      <c r="A123" t="str">
        <f t="shared" si="1"/>
        <v>01 MASTER REQUEST - SLAVE POLL</v>
      </c>
      <c r="B123" t="s">
        <v>18</v>
      </c>
    </row>
    <row r="124" spans="1:2" x14ac:dyDescent="0.25">
      <c r="A124" t="str">
        <f t="shared" si="1"/>
        <v>95 MAGAZINE INFO - CD1 YES, CD2 NO, CD3 NO, CD4 NO, CD5 NO, CD6 NO</v>
      </c>
      <c r="B124" t="s">
        <v>140</v>
      </c>
    </row>
    <row r="125" spans="1:2" x14ac:dyDescent="0.25">
      <c r="A125" t="str">
        <f t="shared" si="1"/>
        <v>01 MASTER REQUEST - SLAVE POLL</v>
      </c>
      <c r="B125" t="s">
        <v>18</v>
      </c>
    </row>
    <row r="126" spans="1:2" x14ac:dyDescent="0.25">
      <c r="A126" t="str">
        <f t="shared" si="1"/>
        <v>97 DISC INFO - TRACKS: 16, MINS: 79, SECS: 36, DISC: 2</v>
      </c>
      <c r="B126" t="s">
        <v>151</v>
      </c>
    </row>
    <row r="127" spans="1:2" x14ac:dyDescent="0.25">
      <c r="A127" t="str">
        <f t="shared" si="1"/>
        <v>84 REQUEST MORE TEXT FIELDS - SEND MAGAZINE INFO</v>
      </c>
      <c r="B127" t="s">
        <v>115</v>
      </c>
    </row>
    <row r="128" spans="1:2" x14ac:dyDescent="0.25">
      <c r="A128" t="str">
        <f t="shared" si="1"/>
        <v>01 MASTER REQUEST - TIME POLL</v>
      </c>
      <c r="B128" t="s">
        <v>35</v>
      </c>
    </row>
    <row r="129" spans="1:2" x14ac:dyDescent="0.25">
      <c r="A129" t="str">
        <f t="shared" si="1"/>
        <v>00 STATUS - IDLE</v>
      </c>
      <c r="B129" t="s">
        <v>126</v>
      </c>
    </row>
    <row r="130" spans="1:2" x14ac:dyDescent="0.25">
      <c r="A130" t="str">
        <f t="shared" ref="A130:A193" si="2">ParseUnilink(B130)</f>
        <v>84 REQUEST MORE TEXT FIELDS - SEND DISC INFO</v>
      </c>
      <c r="B130" t="s">
        <v>120</v>
      </c>
    </row>
    <row r="131" spans="1:2" x14ac:dyDescent="0.25">
      <c r="A131" t="str">
        <f t="shared" si="2"/>
        <v>01 MASTER REQUEST - SLAVE POLL</v>
      </c>
      <c r="B131" t="s">
        <v>18</v>
      </c>
    </row>
    <row r="132" spans="1:2" x14ac:dyDescent="0.25">
      <c r="A132" t="str">
        <f t="shared" si="2"/>
        <v>95 MAGAZINE INFO - CD1 YES, CD2 NO, CD3 NO, CD4 NO, CD5 NO, CD6 NO</v>
      </c>
      <c r="B132" t="s">
        <v>140</v>
      </c>
    </row>
    <row r="133" spans="1:2" x14ac:dyDescent="0.25">
      <c r="A133" t="str">
        <f t="shared" si="2"/>
        <v>01 MASTER REQUEST - SLAVE POLL</v>
      </c>
      <c r="B133" t="s">
        <v>18</v>
      </c>
    </row>
    <row r="134" spans="1:2" x14ac:dyDescent="0.25">
      <c r="A134" t="str">
        <f t="shared" si="2"/>
        <v>97 DISC INFO - TRACKS: 15, MINS: 63, SECS: 56, DISC: 2</v>
      </c>
      <c r="B134" t="s">
        <v>141</v>
      </c>
    </row>
    <row r="135" spans="1:2" x14ac:dyDescent="0.25">
      <c r="A135" t="str">
        <f t="shared" si="2"/>
        <v>84 REQUEST MORE TEXT FIELDS - SEND MAGAZINE INFO</v>
      </c>
      <c r="B135" t="s">
        <v>115</v>
      </c>
    </row>
    <row r="136" spans="1:2" x14ac:dyDescent="0.25">
      <c r="A136" t="str">
        <f t="shared" si="2"/>
        <v>01 MASTER REQUEST - TIME POLL</v>
      </c>
      <c r="B136" t="s">
        <v>35</v>
      </c>
    </row>
    <row r="137" spans="1:2" x14ac:dyDescent="0.25">
      <c r="A137" t="str">
        <f t="shared" si="2"/>
        <v>00 STATUS - IDLE</v>
      </c>
      <c r="B137" t="s">
        <v>126</v>
      </c>
    </row>
    <row r="138" spans="1:2" x14ac:dyDescent="0.25">
      <c r="A138" t="str">
        <f t="shared" si="2"/>
        <v>84 REQUEST MORE TEXT FIELDS - SEND DISC INFO</v>
      </c>
      <c r="B138" t="s">
        <v>120</v>
      </c>
    </row>
    <row r="139" spans="1:2" x14ac:dyDescent="0.25">
      <c r="A139" t="str">
        <f t="shared" si="2"/>
        <v>95 MAGAZINE INFO - CD1 YES, CD2 NO, CD3 NO, CD4 NO, CD5 NO, CD6 NO</v>
      </c>
      <c r="B139" t="s">
        <v>140</v>
      </c>
    </row>
    <row r="140" spans="1:2" x14ac:dyDescent="0.25">
      <c r="A140" t="str">
        <f t="shared" si="2"/>
        <v>01 MASTER REQUEST - SLAVE POLL</v>
      </c>
      <c r="B140" t="s">
        <v>18</v>
      </c>
    </row>
    <row r="141" spans="1:2" x14ac:dyDescent="0.25">
      <c r="A141" t="str">
        <f t="shared" si="2"/>
        <v>97 DISC INFO - TRACKS: 15, MINS: 63, SECS: 56, DISC: 2</v>
      </c>
      <c r="B141" t="s">
        <v>141</v>
      </c>
    </row>
    <row r="142" spans="1:2" x14ac:dyDescent="0.25">
      <c r="A142" t="str">
        <f t="shared" si="2"/>
        <v>01 MASTER REQUEST - SLAVE POLL</v>
      </c>
      <c r="B142" t="s">
        <v>18</v>
      </c>
    </row>
    <row r="143" spans="1:2" x14ac:dyDescent="0.25">
      <c r="A143" t="str">
        <f t="shared" si="2"/>
        <v>01 MASTER REQUEST - SLAVE POLL</v>
      </c>
      <c r="B143" t="s">
        <v>18</v>
      </c>
    </row>
    <row r="144" spans="1:2" x14ac:dyDescent="0.25">
      <c r="A144" t="str">
        <f t="shared" si="2"/>
        <v>00 STATUS - IDLE</v>
      </c>
      <c r="B144" t="s">
        <v>126</v>
      </c>
    </row>
    <row r="145" spans="1:2" x14ac:dyDescent="0.25">
      <c r="A145" t="str">
        <f t="shared" si="2"/>
        <v>84 REQUEST MORE TEXT FIELDS - SEND MAGAZINE INFO</v>
      </c>
      <c r="B145" t="s">
        <v>115</v>
      </c>
    </row>
    <row r="146" spans="1:2" x14ac:dyDescent="0.25">
      <c r="A146" t="str">
        <f t="shared" si="2"/>
        <v>01 MASTER REQUEST - TIME POLL</v>
      </c>
      <c r="B146" t="s">
        <v>35</v>
      </c>
    </row>
    <row r="147" spans="1:2" x14ac:dyDescent="0.25">
      <c r="A147" t="str">
        <f t="shared" si="2"/>
        <v>00 STATUS - IDLE</v>
      </c>
      <c r="B147" t="s">
        <v>126</v>
      </c>
    </row>
    <row r="148" spans="1:2" x14ac:dyDescent="0.25">
      <c r="A148" t="str">
        <f t="shared" si="2"/>
        <v>84 REQUEST MORE TEXT FIELDS - SEND DISC INFO</v>
      </c>
      <c r="B148" t="s">
        <v>120</v>
      </c>
    </row>
    <row r="149" spans="1:2" x14ac:dyDescent="0.25">
      <c r="A149" t="str">
        <f t="shared" si="2"/>
        <v>01 MASTER REQUEST - SLAVE POLL</v>
      </c>
      <c r="B149" t="s">
        <v>18</v>
      </c>
    </row>
    <row r="150" spans="1:2" x14ac:dyDescent="0.25">
      <c r="A150" t="str">
        <f t="shared" si="2"/>
        <v>95 MAGAZINE INFO - CD1 YES, CD2 YES, CD3 NO, CD4 NO, CD5 NO, CD6 NO</v>
      </c>
      <c r="B150" t="s">
        <v>142</v>
      </c>
    </row>
    <row r="151" spans="1:2" x14ac:dyDescent="0.25">
      <c r="A151" t="str">
        <f t="shared" si="2"/>
        <v>01 MASTER REQUEST - SLAVE POLL</v>
      </c>
      <c r="B151" t="s">
        <v>18</v>
      </c>
    </row>
    <row r="152" spans="1:2" x14ac:dyDescent="0.25">
      <c r="A152" t="str">
        <f t="shared" si="2"/>
        <v>97 DISC INFO - TRACKS: 15, MINS: 63, SECS: 56, DISC: 3</v>
      </c>
      <c r="B152" t="s">
        <v>152</v>
      </c>
    </row>
    <row r="153" spans="1:2" x14ac:dyDescent="0.25">
      <c r="A153" t="str">
        <f t="shared" si="2"/>
        <v>01 MASTER REQUEST - SLAVE POLL</v>
      </c>
      <c r="B153" t="s">
        <v>18</v>
      </c>
    </row>
    <row r="154" spans="1:2" x14ac:dyDescent="0.25">
      <c r="A154" t="str">
        <f t="shared" si="2"/>
        <v>00 STATUS - IDLE</v>
      </c>
      <c r="B154" t="s">
        <v>126</v>
      </c>
    </row>
    <row r="155" spans="1:2" x14ac:dyDescent="0.25">
      <c r="A155" t="str">
        <f t="shared" si="2"/>
        <v>84 REQUEST MORE TEXT FIELDS - SEND MAGAZINE INFO</v>
      </c>
      <c r="B155" t="s">
        <v>115</v>
      </c>
    </row>
    <row r="156" spans="1:2" x14ac:dyDescent="0.25">
      <c r="A156" t="str">
        <f t="shared" si="2"/>
        <v>01 MASTER REQUEST - TIME POLL</v>
      </c>
      <c r="B156" t="s">
        <v>35</v>
      </c>
    </row>
    <row r="157" spans="1:2" x14ac:dyDescent="0.25">
      <c r="A157" t="str">
        <f t="shared" si="2"/>
        <v>00 STATUS - IDLE</v>
      </c>
      <c r="B157" t="s">
        <v>126</v>
      </c>
    </row>
    <row r="158" spans="1:2" x14ac:dyDescent="0.25">
      <c r="A158" t="str">
        <f t="shared" si="2"/>
        <v>84 REQUEST MORE TEXT FIELDS - SEND DISC INFO</v>
      </c>
      <c r="B158" t="s">
        <v>120</v>
      </c>
    </row>
    <row r="159" spans="1:2" x14ac:dyDescent="0.25">
      <c r="A159" t="str">
        <f t="shared" si="2"/>
        <v>01 MASTER REQUEST - SLAVE POLL</v>
      </c>
      <c r="B159" t="s">
        <v>18</v>
      </c>
    </row>
    <row r="160" spans="1:2" x14ac:dyDescent="0.25">
      <c r="A160" t="str">
        <f t="shared" si="2"/>
        <v>95 MAGAZINE INFO - CD1 YES, CD2 YES, CD3 NO, CD4 NO, CD5 NO, CD6 NO</v>
      </c>
      <c r="B160" t="s">
        <v>142</v>
      </c>
    </row>
    <row r="161" spans="1:2" x14ac:dyDescent="0.25">
      <c r="A161" t="str">
        <f t="shared" si="2"/>
        <v>01 MASTER REQUEST - SLAVE POLL</v>
      </c>
      <c r="B161" t="s">
        <v>18</v>
      </c>
    </row>
    <row r="162" spans="1:2" x14ac:dyDescent="0.25">
      <c r="A162" t="str">
        <f t="shared" si="2"/>
        <v>97 DISC INFO - TRACKS: 15, MINS: 63, SECS: 56, DISC: 3</v>
      </c>
      <c r="B162" t="s">
        <v>152</v>
      </c>
    </row>
    <row r="163" spans="1:2" x14ac:dyDescent="0.25">
      <c r="A163" t="str">
        <f t="shared" si="2"/>
        <v>01 MASTER REQUEST - TIME POLL</v>
      </c>
      <c r="B163" t="s">
        <v>35</v>
      </c>
    </row>
    <row r="164" spans="1:2" x14ac:dyDescent="0.25">
      <c r="A164" t="str">
        <f t="shared" si="2"/>
        <v>00 STATUS - IDLE</v>
      </c>
      <c r="B164" t="s">
        <v>126</v>
      </c>
    </row>
    <row r="165" spans="1:2" x14ac:dyDescent="0.25">
      <c r="A165" t="str">
        <f t="shared" si="2"/>
        <v>84 REQUEST MORE TEXT FIELDS - SEND DISC INFO</v>
      </c>
      <c r="B165" t="s">
        <v>120</v>
      </c>
    </row>
    <row r="166" spans="1:2" x14ac:dyDescent="0.25">
      <c r="A166" t="str">
        <f t="shared" si="2"/>
        <v>01 MASTER REQUEST - SLAVE POLL</v>
      </c>
      <c r="B166" t="s">
        <v>18</v>
      </c>
    </row>
    <row r="167" spans="1:2" x14ac:dyDescent="0.25">
      <c r="A167" t="str">
        <f t="shared" si="2"/>
        <v>95 MAGAZINE INFO - CD1 YES, CD2 YES, CD3 NO, CD4 NO, CD5 NO, CD6 NO</v>
      </c>
      <c r="B167" t="s">
        <v>142</v>
      </c>
    </row>
    <row r="168" spans="1:2" x14ac:dyDescent="0.25">
      <c r="A168" t="str">
        <f t="shared" si="2"/>
        <v>01 MASTER REQUEST - SLAVE POLL</v>
      </c>
      <c r="B168" t="s">
        <v>18</v>
      </c>
    </row>
    <row r="169" spans="1:2" x14ac:dyDescent="0.25">
      <c r="A169" t="str">
        <f t="shared" si="2"/>
        <v>97 DISC INFO - TRACKS: 15, MINS: 63, SECS: 56, DISC: 3</v>
      </c>
      <c r="B169" t="s">
        <v>152</v>
      </c>
    </row>
    <row r="170" spans="1:2" x14ac:dyDescent="0.25">
      <c r="A170" t="str">
        <f t="shared" si="2"/>
        <v>84 REQUEST MORE TEXT FIELDS - SEND MAGAZINE INFO</v>
      </c>
      <c r="B170" t="s">
        <v>115</v>
      </c>
    </row>
    <row r="171" spans="1:2" x14ac:dyDescent="0.25">
      <c r="A171" t="str">
        <f t="shared" si="2"/>
        <v>01 MASTER REQUEST - TIME POLL</v>
      </c>
      <c r="B171" t="s">
        <v>35</v>
      </c>
    </row>
    <row r="172" spans="1:2" x14ac:dyDescent="0.25">
      <c r="A172" t="str">
        <f t="shared" si="2"/>
        <v>00 STATUS - IDLE</v>
      </c>
      <c r="B172" t="s">
        <v>126</v>
      </c>
    </row>
    <row r="173" spans="1:2" x14ac:dyDescent="0.25">
      <c r="A173" t="str">
        <f t="shared" si="2"/>
        <v>01 MASTER REQUEST - SLAVE POLL</v>
      </c>
      <c r="B173" t="s">
        <v>18</v>
      </c>
    </row>
    <row r="174" spans="1:2" x14ac:dyDescent="0.25">
      <c r="A174" t="str">
        <f t="shared" si="2"/>
        <v>95 MAGAZINE INFO - CD1 YES, CD2 YES, CD3 NO, CD4 NO, CD5 NO, CD6 NO</v>
      </c>
      <c r="B174" t="s">
        <v>142</v>
      </c>
    </row>
    <row r="175" spans="1:2" x14ac:dyDescent="0.25">
      <c r="A175" t="str">
        <f t="shared" si="2"/>
        <v>01 MASTER REQUEST - SLAVE POLL</v>
      </c>
      <c r="B175" t="s">
        <v>18</v>
      </c>
    </row>
    <row r="176" spans="1:2" x14ac:dyDescent="0.25">
      <c r="A176" t="str">
        <f t="shared" si="2"/>
        <v>97 DISC INFO - TRACKS: 15, MINS: 63, SECS: 56, DISC: 3</v>
      </c>
      <c r="B176" t="s">
        <v>152</v>
      </c>
    </row>
    <row r="177" spans="1:2" x14ac:dyDescent="0.25">
      <c r="A177" t="str">
        <f t="shared" si="2"/>
        <v>01 MASTER REQUEST - SLAVE POLL</v>
      </c>
      <c r="B177" t="s">
        <v>18</v>
      </c>
    </row>
    <row r="178" spans="1:2" x14ac:dyDescent="0.25">
      <c r="A178" t="str">
        <f t="shared" si="2"/>
        <v>00 STATUS - IDLE</v>
      </c>
      <c r="B178" t="s">
        <v>126</v>
      </c>
    </row>
    <row r="179" spans="1:2" x14ac:dyDescent="0.25">
      <c r="A179" t="str">
        <f t="shared" si="2"/>
        <v>01 MASTER REQUEST - TIME POLL</v>
      </c>
      <c r="B179" t="s">
        <v>35</v>
      </c>
    </row>
    <row r="180" spans="1:2" x14ac:dyDescent="0.25">
      <c r="A180" t="str">
        <f t="shared" si="2"/>
        <v>00 STATUS - IDLE</v>
      </c>
      <c r="B180" t="s">
        <v>126</v>
      </c>
    </row>
    <row r="181" spans="1:2" x14ac:dyDescent="0.25">
      <c r="A181" t="str">
        <f t="shared" si="2"/>
        <v>84 REQUEST MORE TEXT FIELDS - SEND DISC INFO</v>
      </c>
      <c r="B181" t="s">
        <v>120</v>
      </c>
    </row>
    <row r="182" spans="1:2" x14ac:dyDescent="0.25">
      <c r="A182" t="str">
        <f t="shared" si="2"/>
        <v>01 MASTER REQUEST - SLAVE POLL</v>
      </c>
      <c r="B182" t="s">
        <v>18</v>
      </c>
    </row>
    <row r="183" spans="1:2" x14ac:dyDescent="0.25">
      <c r="A183" t="str">
        <f t="shared" si="2"/>
        <v>95 MAGAZINE INFO - CD1 YES, CD2 YES, CD3 NO, CD4 NO, CD5 NO, CD6 NO</v>
      </c>
      <c r="B183" t="s">
        <v>142</v>
      </c>
    </row>
    <row r="184" spans="1:2" x14ac:dyDescent="0.25">
      <c r="A184" t="str">
        <f t="shared" si="2"/>
        <v>01 MASTER REQUEST - SLAVE POLL</v>
      </c>
      <c r="B184" t="s">
        <v>18</v>
      </c>
    </row>
    <row r="185" spans="1:2" x14ac:dyDescent="0.25">
      <c r="A185" t="str">
        <f t="shared" si="2"/>
        <v>97 DISC INFO - TRACKS: 15, MINS: 63, SECS: 56, DISC: 3</v>
      </c>
      <c r="B185" t="s">
        <v>152</v>
      </c>
    </row>
    <row r="186" spans="1:2" x14ac:dyDescent="0.25">
      <c r="A186" t="str">
        <f t="shared" si="2"/>
        <v>01 MASTER REQUEST - SLAVE POLL</v>
      </c>
      <c r="B186" t="s">
        <v>18</v>
      </c>
    </row>
    <row r="187" spans="1:2" x14ac:dyDescent="0.25">
      <c r="A187" t="str">
        <f t="shared" si="2"/>
        <v>00 STATUS - IDLE</v>
      </c>
      <c r="B187" t="s">
        <v>126</v>
      </c>
    </row>
    <row r="188" spans="1:2" x14ac:dyDescent="0.25">
      <c r="A188" t="str">
        <f t="shared" si="2"/>
        <v>84 REQUEST MORE TEXT FIELDS - SEND MAGAZINE INFO</v>
      </c>
      <c r="B188" t="s">
        <v>115</v>
      </c>
    </row>
    <row r="189" spans="1:2" x14ac:dyDescent="0.25">
      <c r="A189" t="str">
        <f t="shared" si="2"/>
        <v>00 STATUS - IDLE</v>
      </c>
      <c r="B189" t="s">
        <v>126</v>
      </c>
    </row>
    <row r="190" spans="1:2" x14ac:dyDescent="0.25">
      <c r="A190" t="str">
        <f t="shared" si="2"/>
        <v>84 REQUEST MORE TEXT FIELDS - SEND DISC INFO</v>
      </c>
      <c r="B190" t="s">
        <v>120</v>
      </c>
    </row>
    <row r="191" spans="1:2" x14ac:dyDescent="0.25">
      <c r="A191" t="str">
        <f t="shared" si="2"/>
        <v>01 MASTER REQUEST - SLAVE POLL</v>
      </c>
      <c r="B191" t="s">
        <v>18</v>
      </c>
    </row>
    <row r="192" spans="1:2" x14ac:dyDescent="0.25">
      <c r="A192" t="str">
        <f t="shared" si="2"/>
        <v>95 MAGAZINE INFO - CD1 YES, CD2 YES, CD3 NO, CD4 NO, CD5 NO, CD6 NO</v>
      </c>
      <c r="B192" t="s">
        <v>142</v>
      </c>
    </row>
    <row r="193" spans="1:2" x14ac:dyDescent="0.25">
      <c r="A193" t="str">
        <f t="shared" si="2"/>
        <v>01 MASTER REQUEST - SLAVE POLL</v>
      </c>
      <c r="B193" t="s">
        <v>18</v>
      </c>
    </row>
    <row r="194" spans="1:2" x14ac:dyDescent="0.25">
      <c r="A194" t="str">
        <f t="shared" ref="A194:A257" si="3">ParseUnilink(B194)</f>
        <v>97 DISC INFO - TRACKS: 15, MINS: 63, SECS: 56, DISC: 3</v>
      </c>
      <c r="B194" t="s">
        <v>152</v>
      </c>
    </row>
    <row r="195" spans="1:2" x14ac:dyDescent="0.25">
      <c r="A195" t="str">
        <f t="shared" si="3"/>
        <v>84 REQUEST MORE TEXT FIELDS - SEND MAGAZINE INFO</v>
      </c>
      <c r="B195" t="s">
        <v>115</v>
      </c>
    </row>
    <row r="196" spans="1:2" x14ac:dyDescent="0.25">
      <c r="A196" t="str">
        <f t="shared" si="3"/>
        <v>01 MASTER REQUEST - TIME POLL</v>
      </c>
      <c r="B196" t="s">
        <v>35</v>
      </c>
    </row>
    <row r="197" spans="1:2" x14ac:dyDescent="0.25">
      <c r="A197" t="str">
        <f t="shared" si="3"/>
        <v>00 STATUS - IDLE</v>
      </c>
      <c r="B197" t="s">
        <v>126</v>
      </c>
    </row>
    <row r="198" spans="1:2" x14ac:dyDescent="0.25">
      <c r="A198" t="str">
        <f t="shared" si="3"/>
        <v>84 REQUEST MORE TEXT FIELDS - SEND DISC INFO</v>
      </c>
      <c r="B198" t="s">
        <v>120</v>
      </c>
    </row>
    <row r="199" spans="1:2" x14ac:dyDescent="0.25">
      <c r="A199" t="str">
        <f t="shared" si="3"/>
        <v>01 MASTER REQUEST - SLAVE POLL</v>
      </c>
      <c r="B199" t="s">
        <v>18</v>
      </c>
    </row>
    <row r="200" spans="1:2" x14ac:dyDescent="0.25">
      <c r="A200" t="str">
        <f t="shared" si="3"/>
        <v>01 MASTER REQUEST - SLAVE POLL</v>
      </c>
      <c r="B200" t="s">
        <v>18</v>
      </c>
    </row>
    <row r="201" spans="1:2" x14ac:dyDescent="0.25">
      <c r="A201" t="str">
        <f t="shared" si="3"/>
        <v>97 DISC INFO - TRACKS: 15, MINS: 63, SECS: 56, DISC: 3</v>
      </c>
      <c r="B201" t="s">
        <v>152</v>
      </c>
    </row>
    <row r="202" spans="1:2" x14ac:dyDescent="0.25">
      <c r="A202" t="str">
        <f t="shared" si="3"/>
        <v>84 REQUEST MORE TEXT FIELDS - SEND MAGAZINE INFO</v>
      </c>
      <c r="B202" t="s">
        <v>115</v>
      </c>
    </row>
    <row r="203" spans="1:2" x14ac:dyDescent="0.25">
      <c r="A203" t="str">
        <f t="shared" si="3"/>
        <v>01 MASTER REQUEST - TIME POLL</v>
      </c>
      <c r="B203" t="s">
        <v>35</v>
      </c>
    </row>
    <row r="204" spans="1:2" x14ac:dyDescent="0.25">
      <c r="A204" t="str">
        <f t="shared" si="3"/>
        <v>00 STATUS - IDLE</v>
      </c>
      <c r="B204" t="s">
        <v>126</v>
      </c>
    </row>
    <row r="205" spans="1:2" x14ac:dyDescent="0.25">
      <c r="A205" t="str">
        <f t="shared" si="3"/>
        <v>84 REQUEST MORE TEXT FIELDS - SEND DISC INFO</v>
      </c>
      <c r="B205" t="s">
        <v>120</v>
      </c>
    </row>
    <row r="206" spans="1:2" x14ac:dyDescent="0.25">
      <c r="A206" t="str">
        <f t="shared" si="3"/>
        <v>01 MASTER REQUEST - SLAVE POLL</v>
      </c>
      <c r="B206" t="s">
        <v>18</v>
      </c>
    </row>
    <row r="207" spans="1:2" x14ac:dyDescent="0.25">
      <c r="A207" t="str">
        <f t="shared" si="3"/>
        <v>95 MAGAZINE INFO - CD1 YES, CD2 YES, CD3 NO, CD4 NO, CD5 NO, CD6 NO</v>
      </c>
      <c r="B207" t="s">
        <v>142</v>
      </c>
    </row>
    <row r="208" spans="1:2" x14ac:dyDescent="0.25">
      <c r="A208" t="str">
        <f t="shared" si="3"/>
        <v>01 MASTER REQUEST - SLAVE POLL</v>
      </c>
      <c r="B208" t="s">
        <v>18</v>
      </c>
    </row>
    <row r="209" spans="1:2" x14ac:dyDescent="0.25">
      <c r="A209" t="str">
        <f t="shared" si="3"/>
        <v>97 DISC INFO - TRACKS: 16, MINS: 76, SECS: 45, DISC: 3</v>
      </c>
      <c r="B209" t="s">
        <v>143</v>
      </c>
    </row>
    <row r="210" spans="1:2" x14ac:dyDescent="0.25">
      <c r="A210" t="str">
        <f t="shared" si="3"/>
        <v>01 MASTER REQUEST - TIME POLL</v>
      </c>
      <c r="B210" t="s">
        <v>35</v>
      </c>
    </row>
    <row r="211" spans="1:2" x14ac:dyDescent="0.25">
      <c r="A211" t="str">
        <f t="shared" si="3"/>
        <v>00 STATUS - IDLE</v>
      </c>
      <c r="B211" t="s">
        <v>126</v>
      </c>
    </row>
    <row r="212" spans="1:2" x14ac:dyDescent="0.25">
      <c r="A212" t="str">
        <f t="shared" si="3"/>
        <v>84 REQUEST MORE TEXT FIELDS - SEND DISC INFO</v>
      </c>
      <c r="B212" t="s">
        <v>120</v>
      </c>
    </row>
    <row r="213" spans="1:2" x14ac:dyDescent="0.25">
      <c r="A213" t="str">
        <f t="shared" si="3"/>
        <v>01 MASTER REQUEST - SLAVE POLL</v>
      </c>
      <c r="B213" t="s">
        <v>18</v>
      </c>
    </row>
    <row r="214" spans="1:2" x14ac:dyDescent="0.25">
      <c r="A214" t="str">
        <f t="shared" si="3"/>
        <v>95 MAGAZINE INFO - CD1 YES, CD2 YES, CD3 NO, CD4 NO, CD5 NO, CD6 NO</v>
      </c>
      <c r="B214" t="s">
        <v>142</v>
      </c>
    </row>
    <row r="215" spans="1:2" x14ac:dyDescent="0.25">
      <c r="A215" t="str">
        <f t="shared" si="3"/>
        <v>01 MASTER REQUEST - SLAVE POLL</v>
      </c>
      <c r="B215" t="s">
        <v>18</v>
      </c>
    </row>
    <row r="216" spans="1:2" x14ac:dyDescent="0.25">
      <c r="A216" t="str">
        <f t="shared" si="3"/>
        <v>97 DISC INFO - TRACKS: 16, MINS: 76, SECS: 45, DISC: 3</v>
      </c>
      <c r="B216" t="s">
        <v>143</v>
      </c>
    </row>
    <row r="217" spans="1:2" x14ac:dyDescent="0.25">
      <c r="A217" t="str">
        <f t="shared" si="3"/>
        <v>01 MASTER REQUEST - SLAVE POLL</v>
      </c>
      <c r="B217" t="s">
        <v>18</v>
      </c>
    </row>
    <row r="218" spans="1:2" x14ac:dyDescent="0.25">
      <c r="A218" t="str">
        <f t="shared" si="3"/>
        <v>95 MAGAZINE INFO - CD1 YES, CD2 YES, CD3 YES, CD4 NO, CD5 NO, CD6 NO</v>
      </c>
      <c r="B218" t="s">
        <v>144</v>
      </c>
    </row>
    <row r="219" spans="1:2" x14ac:dyDescent="0.25">
      <c r="A219" t="str">
        <f t="shared" si="3"/>
        <v>01 MASTER REQUEST - TIME POLL</v>
      </c>
      <c r="B219" t="s">
        <v>35</v>
      </c>
    </row>
    <row r="220" spans="1:2" x14ac:dyDescent="0.25">
      <c r="A220" t="str">
        <f t="shared" si="3"/>
        <v>00 STATUS - IDLE</v>
      </c>
      <c r="B220" t="s">
        <v>126</v>
      </c>
    </row>
    <row r="221" spans="1:2" x14ac:dyDescent="0.25">
      <c r="A221" t="str">
        <f t="shared" si="3"/>
        <v>01 MASTER REQUEST - SLAVE POLL</v>
      </c>
      <c r="B221" t="s">
        <v>18</v>
      </c>
    </row>
    <row r="222" spans="1:2" x14ac:dyDescent="0.25">
      <c r="A222" t="str">
        <f t="shared" si="3"/>
        <v>95 MAGAZINE INFO - CD1 YES, CD2 YES, CD3 YES, CD4 NO, CD5 NO, CD6 NO</v>
      </c>
      <c r="B222" t="s">
        <v>145</v>
      </c>
    </row>
    <row r="223" spans="1:2" x14ac:dyDescent="0.25">
      <c r="A223" t="str">
        <f t="shared" si="3"/>
        <v>01 MASTER REQUEST - SLAVE POLL</v>
      </c>
      <c r="B223" t="s">
        <v>18</v>
      </c>
    </row>
    <row r="224" spans="1:2" x14ac:dyDescent="0.25">
      <c r="A224" t="str">
        <f t="shared" si="3"/>
        <v>97 DISC INFO - TRACKS: 16, MINS: 76, SECS: 45, DISC: 4</v>
      </c>
      <c r="B224" t="s">
        <v>153</v>
      </c>
    </row>
    <row r="225" spans="1:2" x14ac:dyDescent="0.25">
      <c r="A225" t="str">
        <f t="shared" si="3"/>
        <v>84 REQUEST MORE TEXT FIELDS - SEND MAGAZINE INFO</v>
      </c>
      <c r="B225" t="s">
        <v>115</v>
      </c>
    </row>
    <row r="226" spans="1:2" x14ac:dyDescent="0.25">
      <c r="A226" t="str">
        <f t="shared" si="3"/>
        <v>01 MASTER REQUEST - TIME POLL</v>
      </c>
      <c r="B226" t="s">
        <v>35</v>
      </c>
    </row>
    <row r="227" spans="1:2" x14ac:dyDescent="0.25">
      <c r="A227" t="str">
        <f t="shared" si="3"/>
        <v>00 STATUS - IDLE</v>
      </c>
      <c r="B227" t="s">
        <v>126</v>
      </c>
    </row>
    <row r="228" spans="1:2" x14ac:dyDescent="0.25">
      <c r="A228" t="str">
        <f t="shared" si="3"/>
        <v>84 REQUEST MORE TEXT FIELDS - SEND DISC INFO</v>
      </c>
      <c r="B228" t="s">
        <v>120</v>
      </c>
    </row>
    <row r="229" spans="1:2" x14ac:dyDescent="0.25">
      <c r="A229" t="str">
        <f t="shared" si="3"/>
        <v>01 MASTER REQUEST - SLAVE POLL</v>
      </c>
      <c r="B229" t="s">
        <v>18</v>
      </c>
    </row>
    <row r="230" spans="1:2" x14ac:dyDescent="0.25">
      <c r="A230" t="str">
        <f t="shared" si="3"/>
        <v>95 MAGAZINE INFO - CD1 YES, CD2 YES, CD3 YES, CD4 NO, CD5 NO, CD6 NO</v>
      </c>
      <c r="B230" t="s">
        <v>145</v>
      </c>
    </row>
    <row r="231" spans="1:2" x14ac:dyDescent="0.25">
      <c r="A231" t="str">
        <f t="shared" si="3"/>
        <v>01 MASTER REQUEST - SLAVE POLL</v>
      </c>
      <c r="B231" t="s">
        <v>18</v>
      </c>
    </row>
    <row r="232" spans="1:2" x14ac:dyDescent="0.25">
      <c r="A232" t="str">
        <f t="shared" si="3"/>
        <v>97 DISC INFO - TRACKS: 16, MINS: 76, SECS: 45, DISC: 4</v>
      </c>
      <c r="B232" t="s">
        <v>153</v>
      </c>
    </row>
    <row r="233" spans="1:2" x14ac:dyDescent="0.25">
      <c r="A233" t="str">
        <f t="shared" si="3"/>
        <v>84 REQUEST MORE TEXT FIELDS - SEND MAGAZINE INFO</v>
      </c>
      <c r="B233" t="s">
        <v>115</v>
      </c>
    </row>
    <row r="234" spans="1:2" x14ac:dyDescent="0.25">
      <c r="A234" t="str">
        <f t="shared" si="3"/>
        <v>01 MASTER REQUEST - TIME POLL</v>
      </c>
      <c r="B234" t="s">
        <v>35</v>
      </c>
    </row>
    <row r="235" spans="1:2" x14ac:dyDescent="0.25">
      <c r="A235" t="str">
        <f t="shared" si="3"/>
        <v>00 STATUS - IDLE</v>
      </c>
      <c r="B235" t="s">
        <v>126</v>
      </c>
    </row>
    <row r="236" spans="1:2" x14ac:dyDescent="0.25">
      <c r="A236" t="str">
        <f t="shared" si="3"/>
        <v>84 REQUEST MORE TEXT FIELDS - SEND DISC INFO</v>
      </c>
      <c r="B236" t="s">
        <v>120</v>
      </c>
    </row>
    <row r="237" spans="1:2" x14ac:dyDescent="0.25">
      <c r="A237" t="str">
        <f t="shared" si="3"/>
        <v>01 MASTER REQUEST - SLAVE POLL</v>
      </c>
      <c r="B237" t="s">
        <v>18</v>
      </c>
    </row>
    <row r="238" spans="1:2" x14ac:dyDescent="0.25">
      <c r="A238" t="str">
        <f t="shared" si="3"/>
        <v>95 MAGAZINE INFO - CD1 YES, CD2 YES, CD3 YES, CD4 NO, CD5 NO, CD6 NO</v>
      </c>
      <c r="B238" t="s">
        <v>145</v>
      </c>
    </row>
    <row r="239" spans="1:2" x14ac:dyDescent="0.25">
      <c r="A239" t="str">
        <f t="shared" si="3"/>
        <v>01 MASTER REQUEST - SLAVE POLL</v>
      </c>
      <c r="B239" t="s">
        <v>18</v>
      </c>
    </row>
    <row r="240" spans="1:2" x14ac:dyDescent="0.25">
      <c r="A240" t="str">
        <f t="shared" si="3"/>
        <v>97 DISC INFO - TRACKS: 16, MINS: 76, SECS: 45, DISC: 4</v>
      </c>
      <c r="B240" t="s">
        <v>153</v>
      </c>
    </row>
    <row r="241" spans="1:2" x14ac:dyDescent="0.25">
      <c r="A241" t="str">
        <f t="shared" si="3"/>
        <v>84 REQUEST MORE TEXT FIELDS - SEND MAGAZINE INFO</v>
      </c>
      <c r="B241" t="s">
        <v>115</v>
      </c>
    </row>
    <row r="242" spans="1:2" x14ac:dyDescent="0.25">
      <c r="A242" t="str">
        <f t="shared" si="3"/>
        <v>01 MASTER REQUEST - TIME POLL</v>
      </c>
      <c r="B242" t="s">
        <v>35</v>
      </c>
    </row>
    <row r="243" spans="1:2" x14ac:dyDescent="0.25">
      <c r="A243" t="str">
        <f t="shared" si="3"/>
        <v>00 STATUS - IDLE</v>
      </c>
      <c r="B243" t="s">
        <v>126</v>
      </c>
    </row>
    <row r="244" spans="1:2" x14ac:dyDescent="0.25">
      <c r="A244" t="str">
        <f t="shared" si="3"/>
        <v>84 REQUEST MORE TEXT FIELDS - SEND DISC INFO</v>
      </c>
      <c r="B244" t="s">
        <v>120</v>
      </c>
    </row>
    <row r="245" spans="1:2" x14ac:dyDescent="0.25">
      <c r="A245" t="str">
        <f t="shared" si="3"/>
        <v>01 MASTER REQUEST - SLAVE POLL</v>
      </c>
      <c r="B245" t="s">
        <v>18</v>
      </c>
    </row>
    <row r="246" spans="1:2" x14ac:dyDescent="0.25">
      <c r="A246" t="str">
        <f t="shared" si="3"/>
        <v>95 MAGAZINE INFO - CD1 YES, CD2 YES, CD3 YES, CD4 NO, CD5 NO, CD6 NO</v>
      </c>
      <c r="B246" t="s">
        <v>145</v>
      </c>
    </row>
    <row r="247" spans="1:2" x14ac:dyDescent="0.25">
      <c r="A247" t="str">
        <f t="shared" si="3"/>
        <v>01 MASTER REQUEST - SLAVE POLL</v>
      </c>
      <c r="B247" t="s">
        <v>18</v>
      </c>
    </row>
    <row r="248" spans="1:2" x14ac:dyDescent="0.25">
      <c r="A248" t="str">
        <f t="shared" si="3"/>
        <v>97 DISC INFO - TRACKS: 16, MINS: 76, SECS: 45, DISC: 4</v>
      </c>
      <c r="B248" t="s">
        <v>153</v>
      </c>
    </row>
    <row r="249" spans="1:2" x14ac:dyDescent="0.25">
      <c r="A249" t="str">
        <f t="shared" si="3"/>
        <v>84 REQUEST MORE TEXT FIELDS - SEND MAGAZINE INFO</v>
      </c>
      <c r="B249" t="s">
        <v>115</v>
      </c>
    </row>
    <row r="250" spans="1:2" x14ac:dyDescent="0.25">
      <c r="A250" t="str">
        <f t="shared" si="3"/>
        <v>01 MASTER REQUEST - TIME POLL</v>
      </c>
      <c r="B250" t="s">
        <v>35</v>
      </c>
    </row>
    <row r="251" spans="1:2" x14ac:dyDescent="0.25">
      <c r="A251" t="str">
        <f t="shared" si="3"/>
        <v>00 STATUS - IDLE</v>
      </c>
      <c r="B251" t="s">
        <v>126</v>
      </c>
    </row>
    <row r="252" spans="1:2" x14ac:dyDescent="0.25">
      <c r="A252" t="str">
        <f t="shared" si="3"/>
        <v>84 REQUEST MORE TEXT FIELDS - SEND DISC INFO</v>
      </c>
      <c r="B252" t="s">
        <v>120</v>
      </c>
    </row>
    <row r="253" spans="1:2" x14ac:dyDescent="0.25">
      <c r="A253" t="str">
        <f t="shared" si="3"/>
        <v>01 MASTER REQUEST - SLAVE POLL</v>
      </c>
      <c r="B253" t="s">
        <v>18</v>
      </c>
    </row>
    <row r="254" spans="1:2" x14ac:dyDescent="0.25">
      <c r="A254" t="str">
        <f t="shared" si="3"/>
        <v>95 MAGAZINE INFO - CD1 YES, CD2 YES, CD3 YES, CD4 NO, CD5 NO, CD6 NO</v>
      </c>
      <c r="B254" t="s">
        <v>145</v>
      </c>
    </row>
    <row r="255" spans="1:2" x14ac:dyDescent="0.25">
      <c r="A255" t="str">
        <f t="shared" si="3"/>
        <v>97 DISC INFO - TRACKS: 16, MINS: 76, SECS: 45, DISC: 5</v>
      </c>
      <c r="B255" t="s">
        <v>136</v>
      </c>
    </row>
    <row r="256" spans="1:2" x14ac:dyDescent="0.25">
      <c r="A256" t="str">
        <f t="shared" si="3"/>
        <v>84 REQUEST MORE TEXT FIELDS - SEND MAGAZINE INFO</v>
      </c>
      <c r="B256" t="s">
        <v>115</v>
      </c>
    </row>
    <row r="257" spans="1:2" x14ac:dyDescent="0.25">
      <c r="A257" t="str">
        <f t="shared" si="3"/>
        <v>01 MASTER REQUEST - TIME POLL</v>
      </c>
      <c r="B257" t="s">
        <v>35</v>
      </c>
    </row>
    <row r="258" spans="1:2" x14ac:dyDescent="0.25">
      <c r="A258" t="str">
        <f t="shared" ref="A258:A321" si="4">ParseUnilink(B258)</f>
        <v>00 STATUS - IDLE</v>
      </c>
      <c r="B258" t="s">
        <v>126</v>
      </c>
    </row>
    <row r="259" spans="1:2" x14ac:dyDescent="0.25">
      <c r="A259" t="str">
        <f t="shared" si="4"/>
        <v>84 REQUEST MORE TEXT FIELDS - SEND DISC INFO</v>
      </c>
      <c r="B259" t="s">
        <v>120</v>
      </c>
    </row>
    <row r="260" spans="1:2" x14ac:dyDescent="0.25">
      <c r="A260" t="str">
        <f t="shared" si="4"/>
        <v>95 MAGAZINE INFO - CD1 YES, CD2 YES, CD3 YES, CD4 NO, CD5 NO, CD6 NO</v>
      </c>
      <c r="B260" t="s">
        <v>145</v>
      </c>
    </row>
    <row r="261" spans="1:2" x14ac:dyDescent="0.25">
      <c r="A261" t="str">
        <f t="shared" si="4"/>
        <v>01 MASTER REQUEST - SLAVE POLL</v>
      </c>
      <c r="B261" t="s">
        <v>18</v>
      </c>
    </row>
    <row r="262" spans="1:2" x14ac:dyDescent="0.25">
      <c r="A262" t="str">
        <f t="shared" si="4"/>
        <v>97 DISC INFO - TRACKS: 16, MINS: 76, SECS: 45, DISC: 5</v>
      </c>
      <c r="B262" t="s">
        <v>136</v>
      </c>
    </row>
    <row r="263" spans="1:2" x14ac:dyDescent="0.25">
      <c r="A263" t="str">
        <f t="shared" si="4"/>
        <v>84 REQUEST MORE TEXT FIELDS - SEND MAGAZINE INFO</v>
      </c>
      <c r="B263" t="s">
        <v>115</v>
      </c>
    </row>
    <row r="264" spans="1:2" x14ac:dyDescent="0.25">
      <c r="A264" t="str">
        <f t="shared" si="4"/>
        <v>01 MASTER REQUEST - TIME POLL</v>
      </c>
      <c r="B264" t="s">
        <v>35</v>
      </c>
    </row>
    <row r="265" spans="1:2" x14ac:dyDescent="0.25">
      <c r="A265" t="str">
        <f t="shared" si="4"/>
        <v>00 STATUS - IDLE</v>
      </c>
      <c r="B265" t="s">
        <v>126</v>
      </c>
    </row>
    <row r="266" spans="1:2" x14ac:dyDescent="0.25">
      <c r="A266" t="str">
        <f t="shared" si="4"/>
        <v>84 REQUEST MORE TEXT FIELDS - SEND DISC INFO</v>
      </c>
      <c r="B266" t="s">
        <v>120</v>
      </c>
    </row>
    <row r="267" spans="1:2" x14ac:dyDescent="0.25">
      <c r="A267" t="str">
        <f t="shared" si="4"/>
        <v>01 MASTER REQUEST - SLAVE POLL</v>
      </c>
      <c r="B267" t="s">
        <v>18</v>
      </c>
    </row>
    <row r="268" spans="1:2" x14ac:dyDescent="0.25">
      <c r="A268" t="str">
        <f t="shared" si="4"/>
        <v>95 MAGAZINE INFO - CD1 YES, CD2 YES, CD3 YES, CD4 NO, CD5 NO, CD6 NO</v>
      </c>
      <c r="B268" t="s">
        <v>145</v>
      </c>
    </row>
    <row r="269" spans="1:2" x14ac:dyDescent="0.25">
      <c r="A269" t="str">
        <f t="shared" si="4"/>
        <v>01 MASTER REQUEST - SLAVE POLL</v>
      </c>
      <c r="B269" t="s">
        <v>18</v>
      </c>
    </row>
    <row r="270" spans="1:2" x14ac:dyDescent="0.25">
      <c r="A270" t="str">
        <f t="shared" si="4"/>
        <v>97 DISC INFO - TRACKS: 16, MINS: 76, SECS: 45, DISC: 5</v>
      </c>
      <c r="B270" t="s">
        <v>136</v>
      </c>
    </row>
    <row r="271" spans="1:2" x14ac:dyDescent="0.25">
      <c r="A271" t="str">
        <f t="shared" si="4"/>
        <v>84 REQUEST MORE TEXT FIELDS - SEND MAGAZINE INFO</v>
      </c>
      <c r="B271" t="s">
        <v>115</v>
      </c>
    </row>
    <row r="272" spans="1:2" x14ac:dyDescent="0.25">
      <c r="A272" t="str">
        <f t="shared" si="4"/>
        <v>01 MASTER REQUEST - TIME POLL</v>
      </c>
      <c r="B272" t="s">
        <v>35</v>
      </c>
    </row>
    <row r="273" spans="1:2" x14ac:dyDescent="0.25">
      <c r="A273" t="str">
        <f t="shared" si="4"/>
        <v>84 REQUEST MORE TEXT FIELDS - SEND DISC INFO</v>
      </c>
      <c r="B273" t="s">
        <v>120</v>
      </c>
    </row>
    <row r="274" spans="1:2" x14ac:dyDescent="0.25">
      <c r="A274" t="str">
        <f t="shared" si="4"/>
        <v>01 MASTER REQUEST - SLAVE POLL</v>
      </c>
      <c r="B274" t="s">
        <v>18</v>
      </c>
    </row>
    <row r="275" spans="1:2" x14ac:dyDescent="0.25">
      <c r="A275" t="str">
        <f t="shared" si="4"/>
        <v>95 MAGAZINE INFO - CD1 YES, CD2 YES, CD3 YES, CD4 NO, CD5 NO, CD6 NO</v>
      </c>
      <c r="B275" t="s">
        <v>145</v>
      </c>
    </row>
    <row r="276" spans="1:2" x14ac:dyDescent="0.25">
      <c r="A276" t="str">
        <f t="shared" si="4"/>
        <v>01 MASTER REQUEST - TIME POLL</v>
      </c>
      <c r="B276" t="s">
        <v>35</v>
      </c>
    </row>
    <row r="277" spans="1:2" x14ac:dyDescent="0.25">
      <c r="A277" t="str">
        <f t="shared" si="4"/>
        <v>84 REQUEST MORE TEXT FIELDS - SEND DISC INFO</v>
      </c>
      <c r="B277" t="s">
        <v>120</v>
      </c>
    </row>
    <row r="278" spans="1:2" x14ac:dyDescent="0.25">
      <c r="A278" t="str">
        <f t="shared" si="4"/>
        <v>01 MASTER REQUEST - SLAVE POLL</v>
      </c>
      <c r="B278" t="s">
        <v>18</v>
      </c>
    </row>
    <row r="279" spans="1:2" x14ac:dyDescent="0.25">
      <c r="A279" t="str">
        <f t="shared" si="4"/>
        <v>95 MAGAZINE INFO - CD1 YES, CD2 YES, CD3 YES, CD4 NO, CD5 NO, CD6 NO</v>
      </c>
      <c r="B279" t="s">
        <v>145</v>
      </c>
    </row>
    <row r="280" spans="1:2" x14ac:dyDescent="0.25">
      <c r="A280" t="str">
        <f t="shared" si="4"/>
        <v>01 MASTER REQUEST - SLAVE POLL</v>
      </c>
      <c r="B280" t="s">
        <v>18</v>
      </c>
    </row>
    <row r="281" spans="1:2" x14ac:dyDescent="0.25">
      <c r="A281" t="str">
        <f t="shared" si="4"/>
        <v>97 DISC INFO - TRACKS: 16, MINS: 76, SECS: 45, DISC: 5</v>
      </c>
      <c r="B281" t="s">
        <v>136</v>
      </c>
    </row>
    <row r="282" spans="1:2" x14ac:dyDescent="0.25">
      <c r="A282" t="str">
        <f t="shared" si="4"/>
        <v>84 REQUEST MORE TEXT FIELDS - SEND MAGAZINE INFO</v>
      </c>
      <c r="B282" t="s">
        <v>115</v>
      </c>
    </row>
    <row r="283" spans="1:2" x14ac:dyDescent="0.25">
      <c r="A283" t="str">
        <f t="shared" si="4"/>
        <v>01 MASTER REQUEST - TIME POLL</v>
      </c>
      <c r="B283" t="s">
        <v>35</v>
      </c>
    </row>
    <row r="284" spans="1:2" x14ac:dyDescent="0.25">
      <c r="A284" t="str">
        <f t="shared" si="4"/>
        <v>00 STATUS - IDLE</v>
      </c>
      <c r="B284" t="s">
        <v>126</v>
      </c>
    </row>
    <row r="285" spans="1:2" x14ac:dyDescent="0.25">
      <c r="A285" t="str">
        <f t="shared" si="4"/>
        <v>84 REQUEST MORE TEXT FIELDS - SEND DISC INFO</v>
      </c>
      <c r="B285" t="s">
        <v>120</v>
      </c>
    </row>
    <row r="286" spans="1:2" x14ac:dyDescent="0.25">
      <c r="A286" t="str">
        <f t="shared" si="4"/>
        <v>95 MAGAZINE INFO - CD1 YES, CD2 YES, CD3 YES, CD4 NO, CD5 NO, CD6 NO</v>
      </c>
      <c r="B286" t="s">
        <v>145</v>
      </c>
    </row>
    <row r="287" spans="1:2" x14ac:dyDescent="0.25">
      <c r="A287" t="str">
        <f t="shared" si="4"/>
        <v>01 MASTER REQUEST - SLAVE POLL</v>
      </c>
      <c r="B287" t="s">
        <v>18</v>
      </c>
    </row>
    <row r="288" spans="1:2" x14ac:dyDescent="0.25">
      <c r="A288" t="str">
        <f t="shared" si="4"/>
        <v>97 DISC INFO - TRACKS: 16, MINS: 76, SECS: 45, DISC: 6</v>
      </c>
      <c r="B288" t="s">
        <v>154</v>
      </c>
    </row>
    <row r="289" spans="1:2" x14ac:dyDescent="0.25">
      <c r="A289" t="str">
        <f t="shared" si="4"/>
        <v>84 REQUEST MORE TEXT FIELDS - SEND MAGAZINE INFO</v>
      </c>
      <c r="B289" t="s">
        <v>115</v>
      </c>
    </row>
    <row r="290" spans="1:2" x14ac:dyDescent="0.25">
      <c r="A290" t="str">
        <f t="shared" si="4"/>
        <v>01 MASTER REQUEST - TIME POLL</v>
      </c>
      <c r="B290" t="s">
        <v>35</v>
      </c>
    </row>
    <row r="291" spans="1:2" x14ac:dyDescent="0.25">
      <c r="A291" t="str">
        <f t="shared" si="4"/>
        <v>00 STATUS - IDLE</v>
      </c>
      <c r="B291" t="s">
        <v>126</v>
      </c>
    </row>
    <row r="292" spans="1:2" x14ac:dyDescent="0.25">
      <c r="A292" t="str">
        <f t="shared" si="4"/>
        <v>84 REQUEST MORE TEXT FIELDS - SEND DISC INFO</v>
      </c>
      <c r="B292" t="s">
        <v>120</v>
      </c>
    </row>
    <row r="293" spans="1:2" x14ac:dyDescent="0.25">
      <c r="A293" t="str">
        <f t="shared" si="4"/>
        <v>01 MASTER REQUEST - SLAVE POLL</v>
      </c>
      <c r="B293" t="s">
        <v>18</v>
      </c>
    </row>
    <row r="294" spans="1:2" x14ac:dyDescent="0.25">
      <c r="A294" t="str">
        <f t="shared" si="4"/>
        <v>95 MAGAZINE INFO - CD1 YES, CD2 YES, CD3 YES, CD4 NO, CD5 NO, CD6 NO</v>
      </c>
      <c r="B294" t="s">
        <v>145</v>
      </c>
    </row>
    <row r="295" spans="1:2" x14ac:dyDescent="0.25">
      <c r="A295" t="str">
        <f t="shared" si="4"/>
        <v>01 MASTER REQUEST - SLAVE POLL</v>
      </c>
      <c r="B295" t="s">
        <v>18</v>
      </c>
    </row>
    <row r="296" spans="1:2" x14ac:dyDescent="0.25">
      <c r="A296" t="str">
        <f t="shared" si="4"/>
        <v>97 DISC INFO - TRACKS: 16, MINS: 76, SECS: 45, DISC: 6</v>
      </c>
      <c r="B296" t="s">
        <v>154</v>
      </c>
    </row>
    <row r="297" spans="1:2" x14ac:dyDescent="0.25">
      <c r="A297" t="str">
        <f t="shared" si="4"/>
        <v>84 REQUEST MORE TEXT FIELDS - SEND MAGAZINE INFO</v>
      </c>
      <c r="B297" t="s">
        <v>115</v>
      </c>
    </row>
    <row r="298" spans="1:2" x14ac:dyDescent="0.25">
      <c r="A298" t="str">
        <f t="shared" si="4"/>
        <v>00 STATUS - IDLE</v>
      </c>
      <c r="B298" t="s">
        <v>126</v>
      </c>
    </row>
    <row r="299" spans="1:2" x14ac:dyDescent="0.25">
      <c r="A299" t="str">
        <f t="shared" si="4"/>
        <v>84 REQUEST MORE TEXT FIELDS - SEND DISC INFO</v>
      </c>
      <c r="B299" t="s">
        <v>120</v>
      </c>
    </row>
    <row r="300" spans="1:2" x14ac:dyDescent="0.25">
      <c r="A300" t="str">
        <f t="shared" si="4"/>
        <v>01 MASTER REQUEST - SLAVE POLL</v>
      </c>
      <c r="B300" t="s">
        <v>18</v>
      </c>
    </row>
    <row r="301" spans="1:2" x14ac:dyDescent="0.25">
      <c r="A301" t="str">
        <f t="shared" si="4"/>
        <v>95 MAGAZINE INFO - CD1 YES, CD2 YES, CD3 YES, CD4 NO, CD5 NO, CD6 NO</v>
      </c>
      <c r="B301" t="s">
        <v>145</v>
      </c>
    </row>
    <row r="302" spans="1:2" x14ac:dyDescent="0.25">
      <c r="A302" t="str">
        <f t="shared" si="4"/>
        <v>01 MASTER REQUEST - SLAVE POLL</v>
      </c>
      <c r="B302" t="s">
        <v>18</v>
      </c>
    </row>
    <row r="303" spans="1:2" x14ac:dyDescent="0.25">
      <c r="A303" t="str">
        <f t="shared" si="4"/>
        <v>97 DISC INFO - TRACKS: 16, MINS: 76, SECS: 45, DISC: 6</v>
      </c>
      <c r="B303" t="s">
        <v>154</v>
      </c>
    </row>
    <row r="304" spans="1:2" x14ac:dyDescent="0.25">
      <c r="A304" t="str">
        <f t="shared" si="4"/>
        <v>84 REQUEST MORE TEXT FIELDS - SEND MAGAZINE INFO</v>
      </c>
      <c r="B304" t="s">
        <v>115</v>
      </c>
    </row>
    <row r="305" spans="1:2" x14ac:dyDescent="0.25">
      <c r="A305" t="str">
        <f t="shared" si="4"/>
        <v>01 MASTER REQUEST - TIME POLL</v>
      </c>
      <c r="B305" t="s">
        <v>35</v>
      </c>
    </row>
    <row r="306" spans="1:2" x14ac:dyDescent="0.25">
      <c r="A306" t="str">
        <f t="shared" si="4"/>
        <v>00 STATUS - IDLE</v>
      </c>
      <c r="B306" t="s">
        <v>126</v>
      </c>
    </row>
    <row r="307" spans="1:2" x14ac:dyDescent="0.25">
      <c r="A307" t="str">
        <f t="shared" si="4"/>
        <v>84 REQUEST MORE TEXT FIELDS - SEND DISC INFO</v>
      </c>
      <c r="B307" t="s">
        <v>120</v>
      </c>
    </row>
    <row r="308" spans="1:2" x14ac:dyDescent="0.25">
      <c r="A308" t="str">
        <f t="shared" si="4"/>
        <v>01 MASTER REQUEST - SLAVE POLL</v>
      </c>
      <c r="B308" t="s">
        <v>18</v>
      </c>
    </row>
    <row r="309" spans="1:2" x14ac:dyDescent="0.25">
      <c r="A309" t="str">
        <f t="shared" si="4"/>
        <v>95 MAGAZINE INFO - CD1 YES, CD2 YES, CD3 YES, CD4 NO, CD5 NO, CD6 NO</v>
      </c>
      <c r="B309" t="s">
        <v>145</v>
      </c>
    </row>
    <row r="310" spans="1:2" x14ac:dyDescent="0.25">
      <c r="A310" t="str">
        <f t="shared" si="4"/>
        <v>01 MASTER REQUEST - SLAVE POLL</v>
      </c>
      <c r="B310" t="s">
        <v>18</v>
      </c>
    </row>
    <row r="311" spans="1:2" x14ac:dyDescent="0.25">
      <c r="A311" t="str">
        <f t="shared" si="4"/>
        <v>97 DISC INFO - TRACKS: 16, MINS: 76, SECS: 45, DISC: 6</v>
      </c>
      <c r="B311" t="s">
        <v>154</v>
      </c>
    </row>
    <row r="312" spans="1:2" x14ac:dyDescent="0.25">
      <c r="A312" t="str">
        <f t="shared" si="4"/>
        <v>01 MASTER REQUEST - TIME POLL</v>
      </c>
      <c r="B312" t="s">
        <v>35</v>
      </c>
    </row>
    <row r="313" spans="1:2" x14ac:dyDescent="0.25">
      <c r="A313" t="str">
        <f t="shared" si="4"/>
        <v>00 STATUS - IDLE</v>
      </c>
      <c r="B313" t="s">
        <v>126</v>
      </c>
    </row>
    <row r="314" spans="1:2" x14ac:dyDescent="0.25">
      <c r="A314" t="str">
        <f t="shared" si="4"/>
        <v>84 REQUEST MORE TEXT FIELDS - SEND DISC INFO</v>
      </c>
      <c r="B314" t="s">
        <v>120</v>
      </c>
    </row>
    <row r="315" spans="1:2" x14ac:dyDescent="0.25">
      <c r="A315" t="str">
        <f t="shared" si="4"/>
        <v>01 MASTER REQUEST - SLAVE POLL</v>
      </c>
      <c r="B315" t="s">
        <v>18</v>
      </c>
    </row>
    <row r="316" spans="1:2" x14ac:dyDescent="0.25">
      <c r="A316" t="str">
        <f t="shared" si="4"/>
        <v>84 REQUEST MORE TEXT FIELDS - SEND MAGAZINE INFO</v>
      </c>
      <c r="B316" t="s">
        <v>115</v>
      </c>
    </row>
    <row r="317" spans="1:2" x14ac:dyDescent="0.25">
      <c r="A317" t="str">
        <f t="shared" si="4"/>
        <v>01 MASTER REQUEST - TIME POLL</v>
      </c>
      <c r="B317" t="s">
        <v>35</v>
      </c>
    </row>
    <row r="318" spans="1:2" x14ac:dyDescent="0.25">
      <c r="A318" t="str">
        <f t="shared" si="4"/>
        <v>00 STATUS - IDLE</v>
      </c>
      <c r="B318" t="s">
        <v>126</v>
      </c>
    </row>
    <row r="319" spans="1:2" x14ac:dyDescent="0.25">
      <c r="A319" t="str">
        <f t="shared" si="4"/>
        <v>84 REQUEST MORE TEXT FIELDS - SEND DISC INFO</v>
      </c>
      <c r="B319" t="s">
        <v>120</v>
      </c>
    </row>
    <row r="320" spans="1:2" x14ac:dyDescent="0.25">
      <c r="A320" t="str">
        <f t="shared" si="4"/>
        <v>01 MASTER REQUEST - SLAVE POLL</v>
      </c>
      <c r="B320" t="s">
        <v>18</v>
      </c>
    </row>
    <row r="321" spans="1:2" x14ac:dyDescent="0.25">
      <c r="A321" t="str">
        <f t="shared" si="4"/>
        <v>95 MAGAZINE INFO - CD1 YES, CD2 YES, CD3 YES, CD4 NO, CD5 NO, CD6 NO</v>
      </c>
      <c r="B321" t="s">
        <v>145</v>
      </c>
    </row>
    <row r="322" spans="1:2" x14ac:dyDescent="0.25">
      <c r="A322" t="str">
        <f t="shared" ref="A322:A385" si="5">ParseUnilink(B322)</f>
        <v>01 MASTER REQUEST - SLAVE POLL</v>
      </c>
      <c r="B322" t="s">
        <v>18</v>
      </c>
    </row>
    <row r="323" spans="1:2" x14ac:dyDescent="0.25">
      <c r="A323" t="str">
        <f t="shared" si="5"/>
        <v>97 DISC INFO - TRACKS: 16, MINS: 76, SECS: 45, DISC: 1</v>
      </c>
      <c r="B323" t="s">
        <v>155</v>
      </c>
    </row>
    <row r="324" spans="1:2" x14ac:dyDescent="0.25">
      <c r="A324" t="str">
        <f t="shared" si="5"/>
        <v>84 REQUEST MORE TEXT FIELDS - SEND MAGAZINE INFO</v>
      </c>
      <c r="B324" t="s">
        <v>115</v>
      </c>
    </row>
    <row r="325" spans="1:2" x14ac:dyDescent="0.25">
      <c r="A325" t="str">
        <f t="shared" si="5"/>
        <v>01 MASTER REQUEST - TIME POLL</v>
      </c>
      <c r="B325" t="s">
        <v>35</v>
      </c>
    </row>
    <row r="326" spans="1:2" x14ac:dyDescent="0.25">
      <c r="A326" t="str">
        <f t="shared" si="5"/>
        <v>00 STATUS - IDLE</v>
      </c>
      <c r="B326" t="s">
        <v>126</v>
      </c>
    </row>
    <row r="327" spans="1:2" x14ac:dyDescent="0.25">
      <c r="A327" t="str">
        <f t="shared" si="5"/>
        <v>84 REQUEST MORE TEXT FIELDS - SEND DISC INFO</v>
      </c>
      <c r="B327" t="s">
        <v>120</v>
      </c>
    </row>
    <row r="328" spans="1:2" x14ac:dyDescent="0.25">
      <c r="A328" t="str">
        <f t="shared" si="5"/>
        <v>01 MASTER REQUEST - SLAVE POLL</v>
      </c>
      <c r="B328" t="s">
        <v>18</v>
      </c>
    </row>
    <row r="329" spans="1:2" x14ac:dyDescent="0.25">
      <c r="A329" t="str">
        <f t="shared" si="5"/>
        <v>95 MAGAZINE INFO - CD1 YES, CD2 YES, CD3 YES, CD4 NO, CD5 NO, CD6 NO</v>
      </c>
      <c r="B329" t="s">
        <v>145</v>
      </c>
    </row>
    <row r="330" spans="1:2" x14ac:dyDescent="0.25">
      <c r="A330" t="str">
        <f t="shared" si="5"/>
        <v>01 MASTER REQUEST - SLAVE POLL</v>
      </c>
      <c r="B330" t="s">
        <v>18</v>
      </c>
    </row>
    <row r="331" spans="1:2" x14ac:dyDescent="0.25">
      <c r="A331" t="str">
        <f t="shared" si="5"/>
        <v>97 DISC INFO - TRACKS: 16, MINS: 76, SECS: 45, DISC: 1</v>
      </c>
      <c r="B331" t="s">
        <v>155</v>
      </c>
    </row>
    <row r="332" spans="1:2" x14ac:dyDescent="0.25">
      <c r="A332" t="str">
        <f t="shared" si="5"/>
        <v>84 REQUEST MORE TEXT FIELDS - SEND MAGAZINE INFO</v>
      </c>
      <c r="B332" t="s">
        <v>115</v>
      </c>
    </row>
    <row r="333" spans="1:2" x14ac:dyDescent="0.25">
      <c r="A333" t="str">
        <f t="shared" si="5"/>
        <v>01 MASTER REQUEST - TIME POLL</v>
      </c>
      <c r="B333" t="s">
        <v>35</v>
      </c>
    </row>
    <row r="334" spans="1:2" x14ac:dyDescent="0.25">
      <c r="A334" t="str">
        <f t="shared" si="5"/>
        <v>00 STATUS - IDLE</v>
      </c>
      <c r="B334" t="s">
        <v>126</v>
      </c>
    </row>
    <row r="335" spans="1:2" x14ac:dyDescent="0.25">
      <c r="A335" t="str">
        <f t="shared" si="5"/>
        <v>84 REQUEST MORE TEXT FIELDS - SEND DISC INFO</v>
      </c>
      <c r="B335" t="s">
        <v>120</v>
      </c>
    </row>
    <row r="336" spans="1:2" x14ac:dyDescent="0.25">
      <c r="A336" t="str">
        <f t="shared" si="5"/>
        <v>01 MASTER REQUEST - SLAVE POLL</v>
      </c>
      <c r="B336" t="s">
        <v>18</v>
      </c>
    </row>
    <row r="337" spans="1:2" x14ac:dyDescent="0.25">
      <c r="A337" t="str">
        <f t="shared" si="5"/>
        <v>95 MAGAZINE INFO - CD1 YES, CD2 YES, CD3 YES, CD4 NO, CD5 NO, CD6 NO</v>
      </c>
      <c r="B337" t="s">
        <v>145</v>
      </c>
    </row>
    <row r="338" spans="1:2" x14ac:dyDescent="0.25">
      <c r="A338" t="str">
        <f t="shared" si="5"/>
        <v>01 MASTER REQUEST - SLAVE POLL</v>
      </c>
      <c r="B338" t="s">
        <v>18</v>
      </c>
    </row>
    <row r="339" spans="1:2" x14ac:dyDescent="0.25">
      <c r="A339" t="str">
        <f t="shared" si="5"/>
        <v>97 DISC INFO - TRACKS: 16, MINS: 76, SECS: 45, DISC: 1</v>
      </c>
      <c r="B339" t="s">
        <v>155</v>
      </c>
    </row>
    <row r="340" spans="1:2" x14ac:dyDescent="0.25">
      <c r="A340" t="str">
        <f t="shared" si="5"/>
        <v>01 MASTER REQUEST - SLAVE POLL</v>
      </c>
      <c r="B340" t="s">
        <v>18</v>
      </c>
    </row>
    <row r="341" spans="1:2" x14ac:dyDescent="0.25">
      <c r="A341" t="str">
        <f t="shared" si="5"/>
        <v>00 STATUS - IDLE</v>
      </c>
      <c r="B341" t="s">
        <v>126</v>
      </c>
    </row>
    <row r="342" spans="1:2" x14ac:dyDescent="0.25">
      <c r="A342" t="str">
        <f t="shared" si="5"/>
        <v>84 REQUEST MORE TEXT FIELDS - SEND MAGAZINE INFO</v>
      </c>
      <c r="B342" t="s">
        <v>115</v>
      </c>
    </row>
    <row r="343" spans="1:2" x14ac:dyDescent="0.25">
      <c r="A343" t="str">
        <f t="shared" si="5"/>
        <v>01 MASTER REQUEST - TIME POLL</v>
      </c>
      <c r="B343" t="s">
        <v>35</v>
      </c>
    </row>
    <row r="344" spans="1:2" x14ac:dyDescent="0.25">
      <c r="A344" t="str">
        <f t="shared" si="5"/>
        <v>00 STATUS - IDLE</v>
      </c>
      <c r="B344" t="s">
        <v>126</v>
      </c>
    </row>
    <row r="345" spans="1:2" x14ac:dyDescent="0.25">
      <c r="A345" t="str">
        <f t="shared" si="5"/>
        <v>84 REQUEST MORE TEXT FIELDS - SEND DISC INFO</v>
      </c>
      <c r="B345" t="s">
        <v>120</v>
      </c>
    </row>
    <row r="346" spans="1:2" x14ac:dyDescent="0.25">
      <c r="A346" t="str">
        <f t="shared" si="5"/>
        <v>01 MASTER REQUEST - SLAVE POLL</v>
      </c>
      <c r="B346" t="s">
        <v>18</v>
      </c>
    </row>
    <row r="347" spans="1:2" x14ac:dyDescent="0.25">
      <c r="A347" t="str">
        <f t="shared" si="5"/>
        <v>95 MAGAZINE INFO - CD1 YES, CD2 YES, CD3 YES, CD4 NO, CD5 NO, CD6 NO</v>
      </c>
      <c r="B347" t="s">
        <v>145</v>
      </c>
    </row>
    <row r="348" spans="1:2" x14ac:dyDescent="0.25">
      <c r="A348" t="str">
        <f t="shared" si="5"/>
        <v>01 MASTER REQUEST - SLAVE POLL</v>
      </c>
      <c r="B348" t="s">
        <v>18</v>
      </c>
    </row>
    <row r="349" spans="1:2" x14ac:dyDescent="0.25">
      <c r="A349" t="str">
        <f t="shared" si="5"/>
        <v>97 DISC INFO - TRACKS: 16, MINS: 76, SECS: 45, DISC: 1</v>
      </c>
      <c r="B349" t="s">
        <v>155</v>
      </c>
    </row>
    <row r="350" spans="1:2" x14ac:dyDescent="0.25">
      <c r="A350" t="str">
        <f t="shared" si="5"/>
        <v>84 REQUEST MORE TEXT FIELDS - SEND MAGAZINE INFO</v>
      </c>
      <c r="B350" t="s">
        <v>115</v>
      </c>
    </row>
    <row r="351" spans="1:2" x14ac:dyDescent="0.25">
      <c r="A351" t="str">
        <f t="shared" si="5"/>
        <v>01 MASTER REQUEST - TIME POLL</v>
      </c>
      <c r="B351" t="s">
        <v>35</v>
      </c>
    </row>
    <row r="352" spans="1:2" x14ac:dyDescent="0.25">
      <c r="A352" t="str">
        <f t="shared" si="5"/>
        <v>00 STATUS - IDLE</v>
      </c>
      <c r="B352" t="s">
        <v>126</v>
      </c>
    </row>
    <row r="353" spans="1:2" x14ac:dyDescent="0.25">
      <c r="A353" t="str">
        <f t="shared" si="5"/>
        <v>84 REQUEST MORE TEXT FIELDS - SEND DISC INFO</v>
      </c>
      <c r="B353" t="s">
        <v>120</v>
      </c>
    </row>
    <row r="354" spans="1:2" x14ac:dyDescent="0.25">
      <c r="A354" t="str">
        <f t="shared" si="5"/>
        <v>95 MAGAZINE INFO - CD1 YES, CD2 YES, CD3 YES, CD4 NO, CD5 NO, CD6 NO</v>
      </c>
      <c r="B354" t="s">
        <v>145</v>
      </c>
    </row>
    <row r="355" spans="1:2" x14ac:dyDescent="0.25">
      <c r="A355" t="str">
        <f t="shared" si="5"/>
        <v>97 DISC INFO - TRACKS: 16, MINS: 76, SECS: 45, DISC: 1</v>
      </c>
      <c r="B355" t="s">
        <v>155</v>
      </c>
    </row>
    <row r="356" spans="1:2" x14ac:dyDescent="0.25">
      <c r="A356" t="str">
        <f t="shared" si="5"/>
        <v>84 REQUEST MORE TEXT FIELDS - SEND MAGAZINE INFO</v>
      </c>
      <c r="B356" t="s">
        <v>115</v>
      </c>
    </row>
    <row r="357" spans="1:2" x14ac:dyDescent="0.25">
      <c r="A357" t="str">
        <f t="shared" si="5"/>
        <v>01 MASTER REQUEST - TIME POLL</v>
      </c>
      <c r="B357" t="s">
        <v>35</v>
      </c>
    </row>
    <row r="358" spans="1:2" x14ac:dyDescent="0.25">
      <c r="A358" t="str">
        <f t="shared" si="5"/>
        <v>00 STATUS - IDLE</v>
      </c>
      <c r="B358" t="s">
        <v>126</v>
      </c>
    </row>
    <row r="359" spans="1:2" x14ac:dyDescent="0.25">
      <c r="A359" t="str">
        <f t="shared" si="5"/>
        <v>84 REQUEST MORE TEXT FIELDS - SEND DISC INFO</v>
      </c>
      <c r="B359" t="s">
        <v>120</v>
      </c>
    </row>
    <row r="360" spans="1:2" x14ac:dyDescent="0.25">
      <c r="A360" t="str">
        <f t="shared" si="5"/>
        <v>01 MASTER REQUEST - SLAVE POLL</v>
      </c>
      <c r="B360" t="s">
        <v>18</v>
      </c>
    </row>
    <row r="361" spans="1:2" x14ac:dyDescent="0.25">
      <c r="A361" t="str">
        <f t="shared" si="5"/>
        <v>95 MAGAZINE INFO - CD1 YES, CD2 YES, CD3 YES, CD4 NO, CD5 NO, CD6 NO</v>
      </c>
      <c r="B361" t="s">
        <v>145</v>
      </c>
    </row>
    <row r="362" spans="1:2" x14ac:dyDescent="0.25">
      <c r="A362" t="str">
        <f t="shared" si="5"/>
        <v>01 MASTER REQUEST - SLAVE POLL</v>
      </c>
      <c r="B362" t="s">
        <v>18</v>
      </c>
    </row>
    <row r="363" spans="1:2" x14ac:dyDescent="0.25">
      <c r="A363" t="str">
        <f t="shared" si="5"/>
        <v>97 DISC INFO - TRACKS: 16, MINS: 76, SECS: 45, DISC: 1</v>
      </c>
      <c r="B363" t="s">
        <v>155</v>
      </c>
    </row>
    <row r="364" spans="1:2" x14ac:dyDescent="0.25">
      <c r="A364" t="str">
        <f t="shared" si="5"/>
        <v>84 REQUEST MORE TEXT FIELDS - SEND MAGAZINE INFO</v>
      </c>
      <c r="B364" t="s">
        <v>115</v>
      </c>
    </row>
    <row r="365" spans="1:2" x14ac:dyDescent="0.25">
      <c r="A365" t="str">
        <f t="shared" si="5"/>
        <v>01 MASTER REQUEST - TIME POLL</v>
      </c>
      <c r="B365" t="s">
        <v>35</v>
      </c>
    </row>
    <row r="366" spans="1:2" x14ac:dyDescent="0.25">
      <c r="A366" t="str">
        <f t="shared" si="5"/>
        <v>00 STATUS - IDLE</v>
      </c>
      <c r="B366" t="s">
        <v>126</v>
      </c>
    </row>
    <row r="367" spans="1:2" x14ac:dyDescent="0.25">
      <c r="A367" t="str">
        <f t="shared" si="5"/>
        <v>84 REQUEST MORE TEXT FIELDS - SEND DISC INFO</v>
      </c>
      <c r="B367" t="s">
        <v>120</v>
      </c>
    </row>
    <row r="368" spans="1:2" x14ac:dyDescent="0.25">
      <c r="A368" t="str">
        <f t="shared" si="5"/>
        <v>01 MASTER REQUEST - SLAVE POLL</v>
      </c>
      <c r="B368" t="s">
        <v>18</v>
      </c>
    </row>
    <row r="369" spans="1:2" x14ac:dyDescent="0.25">
      <c r="A369" t="str">
        <f t="shared" si="5"/>
        <v>01 MASTER REQUEST - SLAVE POLL</v>
      </c>
      <c r="B369" t="s">
        <v>18</v>
      </c>
    </row>
    <row r="370" spans="1:2" x14ac:dyDescent="0.25">
      <c r="A370" t="str">
        <f t="shared" si="5"/>
        <v>97 DISC INFO - TRACKS: 16, MINS: 76, SECS: 45, DISC: 1</v>
      </c>
      <c r="B370" t="s">
        <v>155</v>
      </c>
    </row>
    <row r="371" spans="1:2" x14ac:dyDescent="0.25">
      <c r="A371" t="str">
        <f t="shared" si="5"/>
        <v>84 REQUEST MORE TEXT FIELDS - SEND MAGAZINE INFO</v>
      </c>
      <c r="B371" t="s">
        <v>115</v>
      </c>
    </row>
    <row r="372" spans="1:2" x14ac:dyDescent="0.25">
      <c r="A372" t="str">
        <f t="shared" si="5"/>
        <v>01 MASTER REQUEST - TIME POLL</v>
      </c>
      <c r="B372" t="s">
        <v>35</v>
      </c>
    </row>
    <row r="373" spans="1:2" x14ac:dyDescent="0.25">
      <c r="A373" t="str">
        <f t="shared" si="5"/>
        <v>00 STATUS - IDLE</v>
      </c>
      <c r="B373" t="s">
        <v>126</v>
      </c>
    </row>
    <row r="374" spans="1:2" x14ac:dyDescent="0.25">
      <c r="A374" t="str">
        <f t="shared" si="5"/>
        <v>84 REQUEST MORE TEXT FIELDS - SEND DISC INFO</v>
      </c>
      <c r="B374" t="s">
        <v>120</v>
      </c>
    </row>
    <row r="375" spans="1:2" x14ac:dyDescent="0.25">
      <c r="A375" t="str">
        <f t="shared" si="5"/>
        <v>01 MASTER REQUEST - SLAVE POLL</v>
      </c>
      <c r="B375" t="s">
        <v>18</v>
      </c>
    </row>
    <row r="376" spans="1:2" x14ac:dyDescent="0.25">
      <c r="A376" t="str">
        <f t="shared" si="5"/>
        <v>95 MAGAZINE INFO - CD1 YES, CD2 YES, CD3 YES, CD4 NO, CD5 NO, CD6 NO</v>
      </c>
      <c r="B376" t="s">
        <v>145</v>
      </c>
    </row>
    <row r="377" spans="1:2" x14ac:dyDescent="0.25">
      <c r="A377" t="str">
        <f t="shared" si="5"/>
        <v>97 DISC INFO - TRACKS: 16, MINS: 76, SECS: 45, DISC: 1</v>
      </c>
      <c r="B377" t="s">
        <v>155</v>
      </c>
    </row>
    <row r="378" spans="1:2" x14ac:dyDescent="0.25">
      <c r="A378" t="str">
        <f t="shared" si="5"/>
        <v>84 REQUEST MORE TEXT FIELDS - SEND MAGAZINE INFO</v>
      </c>
      <c r="B378" t="s">
        <v>115</v>
      </c>
    </row>
    <row r="379" spans="1:2" x14ac:dyDescent="0.25">
      <c r="A379" t="str">
        <f t="shared" si="5"/>
        <v>01 MASTER REQUEST - TIME POLL</v>
      </c>
      <c r="B379" t="s">
        <v>35</v>
      </c>
    </row>
    <row r="380" spans="1:2" x14ac:dyDescent="0.25">
      <c r="A380" t="str">
        <f t="shared" si="5"/>
        <v>00 STATUS - IDLE</v>
      </c>
      <c r="B380" t="s">
        <v>126</v>
      </c>
    </row>
    <row r="381" spans="1:2" x14ac:dyDescent="0.25">
      <c r="A381" t="str">
        <f t="shared" si="5"/>
        <v>84 REQUEST MORE TEXT FIELDS - SEND DISC INFO</v>
      </c>
      <c r="B381" t="s">
        <v>120</v>
      </c>
    </row>
    <row r="382" spans="1:2" x14ac:dyDescent="0.25">
      <c r="A382" t="str">
        <f t="shared" si="5"/>
        <v>01 MASTER REQUEST - SLAVE POLL</v>
      </c>
      <c r="B382" t="s">
        <v>18</v>
      </c>
    </row>
    <row r="383" spans="1:2" x14ac:dyDescent="0.25">
      <c r="A383" t="str">
        <f t="shared" si="5"/>
        <v>95 MAGAZINE INFO - CD1 YES, CD2 YES, CD3 YES, CD4 NO, CD5 NO, CD6 NO</v>
      </c>
      <c r="B383" t="s">
        <v>145</v>
      </c>
    </row>
    <row r="384" spans="1:2" x14ac:dyDescent="0.25">
      <c r="A384" t="str">
        <f t="shared" si="5"/>
        <v>01 MASTER REQUEST - SLAVE POLL</v>
      </c>
      <c r="B384" t="s">
        <v>18</v>
      </c>
    </row>
    <row r="385" spans="1:2" x14ac:dyDescent="0.25">
      <c r="A385" t="str">
        <f t="shared" si="5"/>
        <v>97 DISC INFO - TRACKS: 16, MINS: 76, SECS: 45, DISC: 1</v>
      </c>
      <c r="B385" t="s">
        <v>155</v>
      </c>
    </row>
    <row r="386" spans="1:2" x14ac:dyDescent="0.25">
      <c r="A386" t="str">
        <f t="shared" ref="A386:A449" si="6">ParseUnilink(B386)</f>
        <v>01 MASTER REQUEST - TIME POLL</v>
      </c>
      <c r="B386" t="s">
        <v>35</v>
      </c>
    </row>
    <row r="387" spans="1:2" x14ac:dyDescent="0.25">
      <c r="A387" t="str">
        <f t="shared" si="6"/>
        <v>00 STATUS - IDLE</v>
      </c>
      <c r="B387" t="s">
        <v>126</v>
      </c>
    </row>
    <row r="388" spans="1:2" x14ac:dyDescent="0.25">
      <c r="A388" t="str">
        <f t="shared" si="6"/>
        <v>84 REQUEST MORE TEXT FIELDS - SEND DISC INFO</v>
      </c>
      <c r="B388" t="s">
        <v>120</v>
      </c>
    </row>
    <row r="389" spans="1:2" x14ac:dyDescent="0.25">
      <c r="A389" t="str">
        <f t="shared" si="6"/>
        <v>01 MASTER REQUEST - SLAVE POLL</v>
      </c>
      <c r="B389" t="s">
        <v>18</v>
      </c>
    </row>
    <row r="390" spans="1:2" x14ac:dyDescent="0.25">
      <c r="A390" t="str">
        <f t="shared" si="6"/>
        <v>84 REQUEST MORE TEXT FIELDS - SEND MAGAZINE INFO</v>
      </c>
      <c r="B390" t="s">
        <v>115</v>
      </c>
    </row>
    <row r="391" spans="1:2" x14ac:dyDescent="0.25">
      <c r="A391" t="str">
        <f t="shared" si="6"/>
        <v>00 STATUS - IDLE</v>
      </c>
      <c r="B391" t="s">
        <v>126</v>
      </c>
    </row>
    <row r="392" spans="1:2" x14ac:dyDescent="0.25">
      <c r="A392" t="str">
        <f t="shared" si="6"/>
        <v>84 REQUEST MORE TEXT FIELDS - SEND DISC INFO</v>
      </c>
      <c r="B392" t="s">
        <v>120</v>
      </c>
    </row>
    <row r="393" spans="1:2" x14ac:dyDescent="0.25">
      <c r="A393" t="str">
        <f t="shared" si="6"/>
        <v>01 MASTER REQUEST - SLAVE POLL</v>
      </c>
      <c r="B393" t="s">
        <v>18</v>
      </c>
    </row>
    <row r="394" spans="1:2" x14ac:dyDescent="0.25">
      <c r="A394" t="str">
        <f t="shared" si="6"/>
        <v>95 MAGAZINE INFO - CD1 YES, CD2 YES, CD3 YES, CD4 NO, CD5 NO, CD6 NO</v>
      </c>
      <c r="B394" t="s">
        <v>145</v>
      </c>
    </row>
    <row r="395" spans="1:2" x14ac:dyDescent="0.25">
      <c r="A395" t="str">
        <f t="shared" si="6"/>
        <v>01 MASTER REQUEST - SLAVE POLL</v>
      </c>
      <c r="B395" t="s">
        <v>18</v>
      </c>
    </row>
    <row r="396" spans="1:2" x14ac:dyDescent="0.25">
      <c r="A396" t="str">
        <f t="shared" si="6"/>
        <v>97 DISC INFO - TRACKS: 16, MINS: 76, SECS: 45, DISC: 1</v>
      </c>
      <c r="B396" t="s">
        <v>155</v>
      </c>
    </row>
    <row r="397" spans="1:2" x14ac:dyDescent="0.25">
      <c r="A397" t="str">
        <f t="shared" si="6"/>
        <v>84 REQUEST MORE TEXT FIELDS - SEND MAGAZINE INFO</v>
      </c>
      <c r="B397" t="s">
        <v>115</v>
      </c>
    </row>
    <row r="398" spans="1:2" x14ac:dyDescent="0.25">
      <c r="A398" t="str">
        <f t="shared" si="6"/>
        <v>00 STATUS - IDLE</v>
      </c>
      <c r="B398" t="s">
        <v>126</v>
      </c>
    </row>
    <row r="399" spans="1:2" x14ac:dyDescent="0.25">
      <c r="A399" t="str">
        <f t="shared" si="6"/>
        <v>84 REQUEST MORE TEXT FIELDS - SEND DISC INFO</v>
      </c>
      <c r="B399" t="s">
        <v>120</v>
      </c>
    </row>
    <row r="400" spans="1:2" x14ac:dyDescent="0.25">
      <c r="A400" t="str">
        <f t="shared" si="6"/>
        <v>01 MASTER REQUEST - SLAVE POLL</v>
      </c>
      <c r="B400" t="s">
        <v>18</v>
      </c>
    </row>
    <row r="401" spans="1:2" x14ac:dyDescent="0.25">
      <c r="A401" t="str">
        <f t="shared" si="6"/>
        <v>95 MAGAZINE INFO - CD1 YES, CD2 YES, CD3 YES, CD4 NO, CD5 NO, CD6 NO</v>
      </c>
      <c r="B401" t="s">
        <v>145</v>
      </c>
    </row>
    <row r="402" spans="1:2" x14ac:dyDescent="0.25">
      <c r="A402" t="str">
        <f t="shared" si="6"/>
        <v>01 MASTER REQUEST - SLAVE POLL</v>
      </c>
      <c r="B402" t="s">
        <v>18</v>
      </c>
    </row>
    <row r="403" spans="1:2" x14ac:dyDescent="0.25">
      <c r="A403" t="str">
        <f t="shared" si="6"/>
        <v>97 DISC INFO - TRACKS: 16, MINS: 76, SECS: 45, DISC: 1</v>
      </c>
      <c r="B403" t="s">
        <v>155</v>
      </c>
    </row>
    <row r="404" spans="1:2" x14ac:dyDescent="0.25">
      <c r="A404" t="str">
        <f t="shared" si="6"/>
        <v>87 POWER ON?</v>
      </c>
      <c r="B404" t="s">
        <v>112</v>
      </c>
    </row>
    <row r="405" spans="1:2" x14ac:dyDescent="0.25">
      <c r="A405" t="str">
        <f t="shared" si="6"/>
        <v>F0 SWITCH SOURCE</v>
      </c>
      <c r="B405" t="s">
        <v>125</v>
      </c>
    </row>
    <row r="406" spans="1:2" x14ac:dyDescent="0.25">
      <c r="A406" t="str">
        <f t="shared" si="6"/>
        <v>21 SWITCH TO - ???</v>
      </c>
      <c r="B406" t="s">
        <v>113</v>
      </c>
    </row>
    <row r="407" spans="1:2" x14ac:dyDescent="0.25">
      <c r="A407" t="str">
        <f t="shared" si="6"/>
        <v>20 PLAY (FROM MASTER)</v>
      </c>
      <c r="B407" t="s">
        <v>114</v>
      </c>
    </row>
    <row r="408" spans="1:2" x14ac:dyDescent="0.25">
      <c r="A408" t="str">
        <f t="shared" si="6"/>
        <v>08 KEY RELEASED</v>
      </c>
      <c r="B408" t="s">
        <v>118</v>
      </c>
    </row>
    <row r="409" spans="1:2" x14ac:dyDescent="0.25">
      <c r="A409" t="str">
        <f t="shared" si="6"/>
        <v>84 REQUEST MORE TEXT FIELDS - SEND MAGAZINE INFO</v>
      </c>
      <c r="B409" t="s">
        <v>115</v>
      </c>
    </row>
    <row r="410" spans="1:2" x14ac:dyDescent="0.25">
      <c r="A410" t="str">
        <f t="shared" si="6"/>
        <v>01 MASTER REQUEST - TIME POLL</v>
      </c>
      <c r="B410" t="s">
        <v>35</v>
      </c>
    </row>
    <row r="411" spans="1:2" x14ac:dyDescent="0.25">
      <c r="A411" t="str">
        <f t="shared" si="6"/>
        <v>00 STATUS - CHANGED CD</v>
      </c>
      <c r="B411" t="s">
        <v>121</v>
      </c>
    </row>
    <row r="412" spans="1:2" x14ac:dyDescent="0.25">
      <c r="A412" t="str">
        <f t="shared" si="6"/>
        <v>84 REQUEST MORE TEXT FIELDS - SEND DISC INFO</v>
      </c>
      <c r="B412" t="s">
        <v>120</v>
      </c>
    </row>
    <row r="413" spans="1:2" x14ac:dyDescent="0.25">
      <c r="A413" t="str">
        <f t="shared" si="6"/>
        <v>01 MASTER REQUEST - SLAVE POLL</v>
      </c>
      <c r="B413" t="s">
        <v>18</v>
      </c>
    </row>
    <row r="414" spans="1:2" x14ac:dyDescent="0.25">
      <c r="A414" t="str">
        <f t="shared" si="6"/>
        <v>95 MAGAZINE INFO - CD1 YES, CD2 YES, CD3 YES, CD4 NO, CD5 NO, CD6 NO</v>
      </c>
      <c r="B414" t="s">
        <v>145</v>
      </c>
    </row>
    <row r="415" spans="1:2" x14ac:dyDescent="0.25">
      <c r="A415" t="str">
        <f t="shared" si="6"/>
        <v>01 MASTER REQUEST - SLAVE POLL</v>
      </c>
      <c r="B415" t="s">
        <v>18</v>
      </c>
    </row>
    <row r="416" spans="1:2" x14ac:dyDescent="0.25">
      <c r="A416" t="str">
        <f t="shared" si="6"/>
        <v>9C - AFTER DISC CHANGE TO MASTER</v>
      </c>
      <c r="B416" t="s">
        <v>117</v>
      </c>
    </row>
    <row r="417" spans="1:2" x14ac:dyDescent="0.25">
      <c r="A417" t="str">
        <f t="shared" si="6"/>
        <v>97 DISC INFO - TRACKS: 16, MINS: 36, SECS: 45, DISC: 1</v>
      </c>
      <c r="B417" t="s">
        <v>156</v>
      </c>
    </row>
    <row r="418" spans="1:2" x14ac:dyDescent="0.25">
      <c r="A418" t="str">
        <f t="shared" si="6"/>
        <v>01 MASTER REQUEST - SLAVE POLL</v>
      </c>
      <c r="B418" t="s">
        <v>18</v>
      </c>
    </row>
    <row r="419" spans="1:2" x14ac:dyDescent="0.25">
      <c r="A419" t="str">
        <f t="shared" si="6"/>
        <v>01 MASTER REQUEST - SLAVE POLL</v>
      </c>
      <c r="B419" t="s">
        <v>18</v>
      </c>
    </row>
    <row r="420" spans="1:2" x14ac:dyDescent="0.25">
      <c r="A420" t="str">
        <f t="shared" si="6"/>
        <v>00 STATUS - CHANGED CD</v>
      </c>
      <c r="B420" t="s">
        <v>121</v>
      </c>
    </row>
    <row r="421" spans="1:2" x14ac:dyDescent="0.25">
      <c r="A421" t="str">
        <f t="shared" si="6"/>
        <v>84 REQUEST MORE TEXT FIELDS - SEND MAGAZINE INFO</v>
      </c>
      <c r="B421" t="s">
        <v>115</v>
      </c>
    </row>
    <row r="422" spans="1:2" x14ac:dyDescent="0.25">
      <c r="A422" t="str">
        <f t="shared" si="6"/>
        <v>01 MASTER REQUEST - TIME POLL</v>
      </c>
      <c r="B422" t="s">
        <v>35</v>
      </c>
    </row>
    <row r="423" spans="1:2" x14ac:dyDescent="0.25">
      <c r="A423" t="str">
        <f t="shared" si="6"/>
        <v>00 STATUS - CHANGED CD</v>
      </c>
      <c r="B423" t="s">
        <v>121</v>
      </c>
    </row>
    <row r="424" spans="1:2" x14ac:dyDescent="0.25">
      <c r="A424" t="str">
        <f t="shared" si="6"/>
        <v>84 REQUEST MORE TEXT FIELDS - SEND DISC INFO</v>
      </c>
      <c r="B424" t="s">
        <v>120</v>
      </c>
    </row>
    <row r="425" spans="1:2" x14ac:dyDescent="0.25">
      <c r="A425" t="str">
        <f t="shared" si="6"/>
        <v>01 MASTER REQUEST - SLAVE POLL</v>
      </c>
      <c r="B425" t="s">
        <v>18</v>
      </c>
    </row>
    <row r="426" spans="1:2" x14ac:dyDescent="0.25">
      <c r="A426" t="str">
        <f t="shared" si="6"/>
        <v>95 MAGAZINE INFO - CD1 YES, CD2 YES, CD3 YES, CD4 NO, CD5 NO, CD6 NO</v>
      </c>
      <c r="B426" t="s">
        <v>145</v>
      </c>
    </row>
    <row r="427" spans="1:2" x14ac:dyDescent="0.25">
      <c r="A427" t="str">
        <f t="shared" si="6"/>
        <v>97 DISC INFO - TRACKS: 16, MINS: 36, SECS: 45, DISC: 1</v>
      </c>
      <c r="B427" t="s">
        <v>156</v>
      </c>
    </row>
    <row r="428" spans="1:2" x14ac:dyDescent="0.25">
      <c r="A428" t="str">
        <f t="shared" si="6"/>
        <v>01 MASTER REQUEST - SLAVE POLL</v>
      </c>
      <c r="B428" t="s">
        <v>18</v>
      </c>
    </row>
    <row r="429" spans="1:2" x14ac:dyDescent="0.25">
      <c r="A429" t="str">
        <f t="shared" si="6"/>
        <v>01 MASTER REQUEST - SLAVE POLL</v>
      </c>
      <c r="B429" t="s">
        <v>18</v>
      </c>
    </row>
    <row r="430" spans="1:2" x14ac:dyDescent="0.25">
      <c r="A430" t="str">
        <f t="shared" si="6"/>
        <v>00 STATUS - CHANGED CD</v>
      </c>
      <c r="B430" t="s">
        <v>121</v>
      </c>
    </row>
    <row r="431" spans="1:2" x14ac:dyDescent="0.25">
      <c r="A431" t="str">
        <f t="shared" si="6"/>
        <v>84 REQUEST MORE TEXT FIELDS - SEND MAGAZINE INFO</v>
      </c>
      <c r="B431" t="s">
        <v>115</v>
      </c>
    </row>
    <row r="432" spans="1:2" x14ac:dyDescent="0.25">
      <c r="A432" t="str">
        <f t="shared" si="6"/>
        <v>01 MASTER REQUEST - TIME POLL</v>
      </c>
      <c r="B432" t="s">
        <v>35</v>
      </c>
    </row>
    <row r="433" spans="1:2" x14ac:dyDescent="0.25">
      <c r="A433" t="str">
        <f t="shared" si="6"/>
        <v>00 STATUS - CHANGED CD</v>
      </c>
      <c r="B433" t="s">
        <v>121</v>
      </c>
    </row>
    <row r="434" spans="1:2" x14ac:dyDescent="0.25">
      <c r="A434" t="str">
        <f t="shared" si="6"/>
        <v>21 SWITCH TO - ???</v>
      </c>
      <c r="B434" t="s">
        <v>113</v>
      </c>
    </row>
    <row r="435" spans="1:2" x14ac:dyDescent="0.25">
      <c r="A435" t="str">
        <f t="shared" si="6"/>
        <v>08 KEY RELEASED</v>
      </c>
      <c r="B435" t="s">
        <v>118</v>
      </c>
    </row>
    <row r="436" spans="1:2" x14ac:dyDescent="0.25">
      <c r="A436" t="str">
        <f t="shared" si="6"/>
        <v>01 MASTER REQUEST - SLAVE POLL</v>
      </c>
      <c r="B436" t="s">
        <v>18</v>
      </c>
    </row>
    <row r="437" spans="1:2" x14ac:dyDescent="0.25">
      <c r="A437" t="str">
        <f t="shared" si="6"/>
        <v>95 MAGAZINE INFO - CD1 YES, CD2 YES, CD3 YES, CD4 NO, CD5 NO, CD6 NO</v>
      </c>
      <c r="B437" t="s">
        <v>145</v>
      </c>
    </row>
    <row r="438" spans="1:2" x14ac:dyDescent="0.25">
      <c r="A438" t="str">
        <f t="shared" si="6"/>
        <v>01 MASTER REQUEST - SLAVE POLL</v>
      </c>
      <c r="B438" t="s">
        <v>18</v>
      </c>
    </row>
    <row r="439" spans="1:2" x14ac:dyDescent="0.25">
      <c r="A439" t="str">
        <f t="shared" si="6"/>
        <v xml:space="preserve">94 - </v>
      </c>
      <c r="B439" t="s">
        <v>122</v>
      </c>
    </row>
    <row r="440" spans="1:2" x14ac:dyDescent="0.25">
      <c r="A440" t="str">
        <f t="shared" si="6"/>
        <v>01 MASTER REQUEST - SLAVE POLL</v>
      </c>
      <c r="B440" t="s">
        <v>18</v>
      </c>
    </row>
    <row r="441" spans="1:2" x14ac:dyDescent="0.25">
      <c r="A441" t="str">
        <f t="shared" si="6"/>
        <v>97 DISC INFO - TRACKS: 16, MINS: 36, SECS: 45, DISC: 1</v>
      </c>
      <c r="B441" t="s">
        <v>156</v>
      </c>
    </row>
    <row r="442" spans="1:2" x14ac:dyDescent="0.25">
      <c r="A442" t="str">
        <f t="shared" si="6"/>
        <v>01 MASTER REQUEST - SLAVE POLL</v>
      </c>
      <c r="B442" t="s">
        <v>18</v>
      </c>
    </row>
    <row r="443" spans="1:2" x14ac:dyDescent="0.25">
      <c r="A443" t="str">
        <f t="shared" si="6"/>
        <v>00 STATUS - CHANGED CD</v>
      </c>
      <c r="B443" t="s">
        <v>121</v>
      </c>
    </row>
    <row r="444" spans="1:2" x14ac:dyDescent="0.25">
      <c r="A444" t="str">
        <f t="shared" si="6"/>
        <v>01 MASTER REQUEST - SLAVE POLL</v>
      </c>
      <c r="B444" t="s">
        <v>18</v>
      </c>
    </row>
    <row r="445" spans="1:2" x14ac:dyDescent="0.25">
      <c r="A445" t="str">
        <f t="shared" si="6"/>
        <v xml:space="preserve">94 - </v>
      </c>
      <c r="B445" t="s">
        <v>134</v>
      </c>
    </row>
    <row r="446" spans="1:2" x14ac:dyDescent="0.25">
      <c r="A446" t="str">
        <f t="shared" si="6"/>
        <v>01 MASTER REQUEST - SLAVE POLL</v>
      </c>
      <c r="B446" t="s">
        <v>18</v>
      </c>
    </row>
    <row r="447" spans="1:2" x14ac:dyDescent="0.25">
      <c r="A447" t="str">
        <f t="shared" si="6"/>
        <v>00 STATUS - CHANGED CD</v>
      </c>
      <c r="B447" t="s">
        <v>121</v>
      </c>
    </row>
    <row r="448" spans="1:2" x14ac:dyDescent="0.25">
      <c r="A448" t="str">
        <f t="shared" si="6"/>
        <v>01 MASTER REQUEST - SLAVE POLL</v>
      </c>
      <c r="B448" t="s">
        <v>18</v>
      </c>
    </row>
    <row r="449" spans="1:2" x14ac:dyDescent="0.25">
      <c r="A449" t="str">
        <f t="shared" si="6"/>
        <v>01 MASTER REQUEST - SLAVE POLL</v>
      </c>
      <c r="B449" t="s">
        <v>18</v>
      </c>
    </row>
    <row r="450" spans="1:2" x14ac:dyDescent="0.25">
      <c r="A450" t="str">
        <f t="shared" ref="A450:A513" si="7">ParseUnilink(B450)</f>
        <v>00 STATUS - PLAYING</v>
      </c>
      <c r="B450" t="s">
        <v>127</v>
      </c>
    </row>
    <row r="451" spans="1:2" x14ac:dyDescent="0.25">
      <c r="A451" t="str">
        <f t="shared" si="7"/>
        <v>84 REQUEST MORE TEXT FIELDS - SEND MAGAZINE INFO</v>
      </c>
      <c r="B451" t="s">
        <v>115</v>
      </c>
    </row>
    <row r="452" spans="1:2" x14ac:dyDescent="0.25">
      <c r="A452" t="str">
        <f t="shared" si="7"/>
        <v>01 MASTER REQUEST - TIME POLL</v>
      </c>
      <c r="B452" t="s">
        <v>35</v>
      </c>
    </row>
    <row r="453" spans="1:2" x14ac:dyDescent="0.25">
      <c r="A453" t="str">
        <f t="shared" si="7"/>
        <v>00 STATUS - PLAYING</v>
      </c>
      <c r="B453" t="s">
        <v>127</v>
      </c>
    </row>
    <row r="454" spans="1:2" x14ac:dyDescent="0.25">
      <c r="A454" t="str">
        <f t="shared" si="7"/>
        <v>84 REQUEST MORE TEXT FIELDS - SEND DISC INFO</v>
      </c>
      <c r="B454" t="s">
        <v>120</v>
      </c>
    </row>
    <row r="455" spans="1:2" x14ac:dyDescent="0.25">
      <c r="A455" t="str">
        <f t="shared" si="7"/>
        <v>01 MASTER REQUEST - SLAVE POLL</v>
      </c>
      <c r="B455" t="s">
        <v>18</v>
      </c>
    </row>
    <row r="456" spans="1:2" x14ac:dyDescent="0.25">
      <c r="A456" t="str">
        <f t="shared" si="7"/>
        <v>95 MAGAZINE INFO - CD1 YES, CD2 YES, CD3 YES, CD4 NO, CD5 NO, CD6 NO</v>
      </c>
      <c r="B456" t="s">
        <v>145</v>
      </c>
    </row>
    <row r="457" spans="1:2" x14ac:dyDescent="0.25">
      <c r="A457" t="str">
        <f t="shared" si="7"/>
        <v>01 MASTER REQUEST - SLAVE POLL</v>
      </c>
      <c r="B457" t="s">
        <v>18</v>
      </c>
    </row>
    <row r="458" spans="1:2" x14ac:dyDescent="0.25">
      <c r="A458" t="str">
        <f t="shared" si="7"/>
        <v>97 DISC INFO - TRACKS: 16, MINS: 79, SECS: 36, DISC: 1</v>
      </c>
      <c r="B458" t="s">
        <v>139</v>
      </c>
    </row>
    <row r="459" spans="1:2" x14ac:dyDescent="0.25">
      <c r="A459" t="str">
        <f t="shared" si="7"/>
        <v>01 MASTER REQUEST - SLAVE POLL</v>
      </c>
      <c r="B459" t="s">
        <v>18</v>
      </c>
    </row>
    <row r="460" spans="1:2" x14ac:dyDescent="0.25">
      <c r="A460" t="str">
        <f t="shared" si="7"/>
        <v>01 MASTER REQUEST - SLAVE POLL</v>
      </c>
      <c r="B460" t="s">
        <v>18</v>
      </c>
    </row>
    <row r="461" spans="1:2" x14ac:dyDescent="0.25">
      <c r="A461" t="str">
        <f t="shared" si="7"/>
        <v>00 STATUS - PLAYING</v>
      </c>
      <c r="B461" t="s">
        <v>127</v>
      </c>
    </row>
    <row r="462" spans="1:2" x14ac:dyDescent="0.25">
      <c r="A462" t="str">
        <f t="shared" si="7"/>
        <v>84 REQUEST MORE TEXT FIELDS - SEND MAGAZINE INFO</v>
      </c>
      <c r="B462" t="s">
        <v>115</v>
      </c>
    </row>
    <row r="463" spans="1:2" x14ac:dyDescent="0.25">
      <c r="A463" t="str">
        <f t="shared" si="7"/>
        <v>01 MASTER REQUEST - TIME POLL</v>
      </c>
      <c r="B463" t="s">
        <v>35</v>
      </c>
    </row>
    <row r="464" spans="1:2" x14ac:dyDescent="0.25">
      <c r="A464" t="str">
        <f t="shared" si="7"/>
        <v>00 STATUS - PLAYING</v>
      </c>
      <c r="B464" t="s">
        <v>127</v>
      </c>
    </row>
    <row r="465" spans="1:2" x14ac:dyDescent="0.25">
      <c r="A465" t="str">
        <f t="shared" si="7"/>
        <v>01 MASTER REQUEST - SLAVE POLL</v>
      </c>
      <c r="B465" t="s">
        <v>18</v>
      </c>
    </row>
    <row r="466" spans="1:2" x14ac:dyDescent="0.25">
      <c r="A466" t="str">
        <f t="shared" si="7"/>
        <v>95 MAGAZINE INFO - CD1 YES, CD2 YES, CD3 YES, CD4 NO, CD5 NO, CD6 NO</v>
      </c>
      <c r="B466" t="s">
        <v>145</v>
      </c>
    </row>
    <row r="467" spans="1:2" x14ac:dyDescent="0.25">
      <c r="A467" t="str">
        <f t="shared" si="7"/>
        <v>01 MASTER REQUEST - SLAVE POLL</v>
      </c>
      <c r="B467" t="s">
        <v>18</v>
      </c>
    </row>
    <row r="468" spans="1:2" x14ac:dyDescent="0.25">
      <c r="A468" t="str">
        <f t="shared" si="7"/>
        <v>97 DISC INFO - TRACKS: 16, MINS: 79, SECS: 36, DISC: 1</v>
      </c>
      <c r="B468" t="s">
        <v>139</v>
      </c>
    </row>
    <row r="469" spans="1:2" x14ac:dyDescent="0.25">
      <c r="A469" t="str">
        <f t="shared" si="7"/>
        <v>01 MASTER REQUEST - SLAVE POLL</v>
      </c>
      <c r="B469" t="s">
        <v>18</v>
      </c>
    </row>
    <row r="470" spans="1:2" x14ac:dyDescent="0.25">
      <c r="A470" t="str">
        <f t="shared" si="7"/>
        <v>00 STATUS - PLAYING</v>
      </c>
      <c r="B470" t="s">
        <v>127</v>
      </c>
    </row>
    <row r="471" spans="1:2" x14ac:dyDescent="0.25">
      <c r="A471" t="str">
        <f t="shared" si="7"/>
        <v>84 REQUEST MORE TEXT FIELDS - SEND MAGAZINE INFO</v>
      </c>
      <c r="B471" t="s">
        <v>115</v>
      </c>
    </row>
    <row r="472" spans="1:2" x14ac:dyDescent="0.25">
      <c r="A472" t="str">
        <f t="shared" si="7"/>
        <v>01 MASTER REQUEST - TIME POLL</v>
      </c>
      <c r="B472" t="s">
        <v>35</v>
      </c>
    </row>
    <row r="473" spans="1:2" x14ac:dyDescent="0.25">
      <c r="A473" t="str">
        <f t="shared" si="7"/>
        <v>00 STATUS - PLAYING</v>
      </c>
      <c r="B473" t="s">
        <v>127</v>
      </c>
    </row>
    <row r="474" spans="1:2" x14ac:dyDescent="0.25">
      <c r="A474" t="str">
        <f t="shared" si="7"/>
        <v>84 REQUEST MORE TEXT FIELDS - SEND DISC INFO</v>
      </c>
      <c r="B474" t="s">
        <v>120</v>
      </c>
    </row>
    <row r="475" spans="1:2" x14ac:dyDescent="0.25">
      <c r="A475" t="str">
        <f t="shared" si="7"/>
        <v>01 MASTER REQUEST - SLAVE POLL</v>
      </c>
      <c r="B475" t="s">
        <v>18</v>
      </c>
    </row>
    <row r="476" spans="1:2" x14ac:dyDescent="0.25">
      <c r="A476" t="str">
        <f t="shared" si="7"/>
        <v>95 MAGAZINE INFO - CD1 YES, CD2 YES, CD3 YES, CD4 NO, CD5 NO, CD6 NO</v>
      </c>
      <c r="B476" t="s">
        <v>145</v>
      </c>
    </row>
    <row r="477" spans="1:2" x14ac:dyDescent="0.25">
      <c r="A477" t="str">
        <f t="shared" si="7"/>
        <v>01 MASTER REQUEST - SLAVE POLL</v>
      </c>
      <c r="B477" t="s">
        <v>18</v>
      </c>
    </row>
    <row r="478" spans="1:2" x14ac:dyDescent="0.25">
      <c r="A478" t="str">
        <f t="shared" si="7"/>
        <v>97 DISC INFO - TRACKS: 16, MINS: 79, SECS: 36, DISC: 1</v>
      </c>
      <c r="B478" t="s">
        <v>139</v>
      </c>
    </row>
    <row r="479" spans="1:2" x14ac:dyDescent="0.25">
      <c r="A479" t="str">
        <f t="shared" si="7"/>
        <v>01 MASTER REQUEST - SLAVE POLL</v>
      </c>
      <c r="B479" t="s">
        <v>18</v>
      </c>
    </row>
    <row r="480" spans="1:2" x14ac:dyDescent="0.25">
      <c r="A480" t="str">
        <f t="shared" si="7"/>
        <v>90 TIME- TRACK: 01, 00:03, DISC: 1</v>
      </c>
      <c r="B480" t="s">
        <v>129</v>
      </c>
    </row>
    <row r="481" spans="1:2" x14ac:dyDescent="0.25">
      <c r="A481" t="str">
        <f t="shared" si="7"/>
        <v>01 MASTER REQUEST - SLAVE POLL</v>
      </c>
      <c r="B481" t="s">
        <v>18</v>
      </c>
    </row>
    <row r="482" spans="1:2" x14ac:dyDescent="0.25">
      <c r="A482" t="str">
        <f t="shared" si="7"/>
        <v>00 STATUS - PLAYING</v>
      </c>
      <c r="B482" t="s">
        <v>127</v>
      </c>
    </row>
    <row r="483" spans="1:2" x14ac:dyDescent="0.25">
      <c r="A483" t="str">
        <f t="shared" si="7"/>
        <v>84 REQUEST MORE TEXT FIELDS - SEND MAGAZINE INFO</v>
      </c>
      <c r="B483" t="s">
        <v>115</v>
      </c>
    </row>
    <row r="484" spans="1:2" x14ac:dyDescent="0.25">
      <c r="A484" t="str">
        <f t="shared" si="7"/>
        <v>01 MASTER REQUEST - TIME POLL</v>
      </c>
      <c r="B484" t="s">
        <v>35</v>
      </c>
    </row>
    <row r="485" spans="1:2" x14ac:dyDescent="0.25">
      <c r="A485" t="str">
        <f t="shared" si="7"/>
        <v>00 STATUS - PLAYING</v>
      </c>
      <c r="B485" t="s">
        <v>127</v>
      </c>
    </row>
    <row r="486" spans="1:2" x14ac:dyDescent="0.25">
      <c r="A486" t="str">
        <f t="shared" si="7"/>
        <v>01 MASTER REQUEST - SLAVE POLL</v>
      </c>
      <c r="B486" t="s">
        <v>18</v>
      </c>
    </row>
    <row r="487" spans="1:2" x14ac:dyDescent="0.25">
      <c r="A487" t="str">
        <f t="shared" si="7"/>
        <v>95 MAGAZINE INFO - CD1 YES, CD2 YES, CD3 YES, CD4 NO, CD5 NO, CD6 NO</v>
      </c>
      <c r="B487" t="s">
        <v>145</v>
      </c>
    </row>
    <row r="488" spans="1:2" x14ac:dyDescent="0.25">
      <c r="A488" t="str">
        <f t="shared" si="7"/>
        <v>84 REQUEST MORE TEXT FIELDS - SEND DISC INFO</v>
      </c>
      <c r="B488" t="s">
        <v>120</v>
      </c>
    </row>
    <row r="489" spans="1:2" x14ac:dyDescent="0.25">
      <c r="A489" t="str">
        <f t="shared" si="7"/>
        <v>01 MASTER REQUEST - SLAVE POLL</v>
      </c>
      <c r="B489" t="s">
        <v>18</v>
      </c>
    </row>
    <row r="490" spans="1:2" x14ac:dyDescent="0.25">
      <c r="A490" t="str">
        <f t="shared" si="7"/>
        <v>90 TIME- TRACK: 01, 00:04, DISC: 1</v>
      </c>
      <c r="B490" t="s">
        <v>130</v>
      </c>
    </row>
    <row r="491" spans="1:2" x14ac:dyDescent="0.25">
      <c r="A491" t="str">
        <f t="shared" si="7"/>
        <v>01 MASTER REQUEST - SLAVE POLL</v>
      </c>
      <c r="B491" t="s">
        <v>18</v>
      </c>
    </row>
    <row r="492" spans="1:2" x14ac:dyDescent="0.25">
      <c r="A492" t="str">
        <f t="shared" si="7"/>
        <v>97 DISC INFO - TRACKS: 16, MINS: 79, SECS: 36, DISC: 1</v>
      </c>
      <c r="B492" t="s">
        <v>139</v>
      </c>
    </row>
    <row r="493" spans="1:2" x14ac:dyDescent="0.25">
      <c r="A493" t="str">
        <f t="shared" si="7"/>
        <v>01 MASTER REQUEST - SLAVE POLL</v>
      </c>
      <c r="B493" t="s">
        <v>18</v>
      </c>
    </row>
    <row r="494" spans="1:2" x14ac:dyDescent="0.25">
      <c r="A494" t="str">
        <f t="shared" si="7"/>
        <v>90 TIME- TRACK: 01, 00:05, DISC: 1</v>
      </c>
      <c r="B494" t="s">
        <v>131</v>
      </c>
    </row>
    <row r="495" spans="1:2" x14ac:dyDescent="0.25">
      <c r="A495" t="str">
        <f t="shared" si="7"/>
        <v>01 MASTER REQUEST - SLAVE POLL</v>
      </c>
      <c r="B495" t="s">
        <v>18</v>
      </c>
    </row>
    <row r="496" spans="1:2" x14ac:dyDescent="0.25">
      <c r="A496" t="str">
        <f t="shared" si="7"/>
        <v>00 STATUS - PLAYING</v>
      </c>
      <c r="B496" t="s">
        <v>127</v>
      </c>
    </row>
    <row r="497" spans="1:2" x14ac:dyDescent="0.25">
      <c r="A497" t="str">
        <f t="shared" si="7"/>
        <v>84 REQUEST MORE TEXT FIELDS - SEND MAGAZINE INFO</v>
      </c>
      <c r="B497" t="s">
        <v>115</v>
      </c>
    </row>
    <row r="498" spans="1:2" x14ac:dyDescent="0.25">
      <c r="A498" t="str">
        <f t="shared" si="7"/>
        <v>01 MASTER REQUEST - TIME POLL</v>
      </c>
      <c r="B498" t="s">
        <v>35</v>
      </c>
    </row>
    <row r="499" spans="1:2" x14ac:dyDescent="0.25">
      <c r="A499" t="str">
        <f t="shared" si="7"/>
        <v>00 STATUS - PLAYING</v>
      </c>
      <c r="B499" t="s">
        <v>127</v>
      </c>
    </row>
    <row r="500" spans="1:2" x14ac:dyDescent="0.25">
      <c r="A500" t="str">
        <f t="shared" si="7"/>
        <v>84 REQUEST MORE TEXT FIELDS - SEND DISC INFO</v>
      </c>
      <c r="B500" t="s">
        <v>120</v>
      </c>
    </row>
    <row r="501" spans="1:2" x14ac:dyDescent="0.25">
      <c r="A501" t="str">
        <f t="shared" si="7"/>
        <v>01 MASTER REQUEST - SLAVE POLL</v>
      </c>
      <c r="B501" t="s">
        <v>18</v>
      </c>
    </row>
    <row r="502" spans="1:2" x14ac:dyDescent="0.25">
      <c r="A502" t="str">
        <f t="shared" si="7"/>
        <v>95 MAGAZINE INFO - CD1 YES, CD2 YES, CD3 YES, CD4 NO, CD5 NO, CD6 NO</v>
      </c>
      <c r="B502" t="s">
        <v>145</v>
      </c>
    </row>
    <row r="503" spans="1:2" x14ac:dyDescent="0.25">
      <c r="A503" t="str">
        <f t="shared" si="7"/>
        <v>01 MASTER REQUEST - SLAVE POLL</v>
      </c>
      <c r="B503" t="s">
        <v>18</v>
      </c>
    </row>
    <row r="504" spans="1:2" x14ac:dyDescent="0.25">
      <c r="A504" t="str">
        <f t="shared" si="7"/>
        <v>97 DISC INFO - TRACKS: 16, MINS: 79, SECS: 36, DISC: 1</v>
      </c>
      <c r="B504" t="s">
        <v>139</v>
      </c>
    </row>
    <row r="505" spans="1:2" x14ac:dyDescent="0.25">
      <c r="A505" t="str">
        <f t="shared" si="7"/>
        <v>90 TIME- TRACK: 01, 00:06, DISC: 1</v>
      </c>
      <c r="B505" t="s">
        <v>132</v>
      </c>
    </row>
    <row r="506" spans="1:2" x14ac:dyDescent="0.25">
      <c r="A506" t="str">
        <f t="shared" si="7"/>
        <v>84 REQUEST MORE TEXT FIELDS - SEND MAGAZINE INFO</v>
      </c>
      <c r="B506" t="s">
        <v>115</v>
      </c>
    </row>
    <row r="507" spans="1:2" x14ac:dyDescent="0.25">
      <c r="A507" t="str">
        <f t="shared" si="7"/>
        <v>01 MASTER REQUEST - TIME POLL</v>
      </c>
      <c r="B507" t="s">
        <v>35</v>
      </c>
    </row>
    <row r="508" spans="1:2" x14ac:dyDescent="0.25">
      <c r="A508" t="str">
        <f t="shared" si="7"/>
        <v>00 STATUS - PLAYING</v>
      </c>
      <c r="B508" t="s">
        <v>127</v>
      </c>
    </row>
    <row r="509" spans="1:2" x14ac:dyDescent="0.25">
      <c r="A509" t="str">
        <f t="shared" si="7"/>
        <v>84 REQUEST MORE TEXT FIELDS - SEND DISC INFO</v>
      </c>
      <c r="B509" t="s">
        <v>120</v>
      </c>
    </row>
    <row r="510" spans="1:2" x14ac:dyDescent="0.25">
      <c r="A510" t="str">
        <f t="shared" si="7"/>
        <v>01 MASTER REQUEST - SLAVE POLL</v>
      </c>
      <c r="B510" t="s">
        <v>18</v>
      </c>
    </row>
    <row r="511" spans="1:2" x14ac:dyDescent="0.25">
      <c r="A511" t="str">
        <f t="shared" si="7"/>
        <v>95 MAGAZINE INFO - CD1 YES, CD2 YES, CD3 YES, CD4 NO, CD5 NO, CD6 NO</v>
      </c>
      <c r="B511" t="s">
        <v>145</v>
      </c>
    </row>
    <row r="512" spans="1:2" x14ac:dyDescent="0.25">
      <c r="A512" t="str">
        <f t="shared" si="7"/>
        <v>01 MASTER REQUEST - SLAVE POLL</v>
      </c>
      <c r="B512" t="s">
        <v>18</v>
      </c>
    </row>
    <row r="513" spans="1:2" x14ac:dyDescent="0.25">
      <c r="A513" t="str">
        <f t="shared" si="7"/>
        <v>97 DISC INFO - TRACKS: 16, MINS: 79, SECS: 36, DISC: 1</v>
      </c>
      <c r="B513" t="s">
        <v>139</v>
      </c>
    </row>
    <row r="514" spans="1:2" x14ac:dyDescent="0.25">
      <c r="A514" t="str">
        <f t="shared" ref="A514:A577" si="8">ParseUnilink(B514)</f>
        <v>00 STATUS - PLAYING</v>
      </c>
      <c r="B514" t="s">
        <v>127</v>
      </c>
    </row>
    <row r="515" spans="1:2" x14ac:dyDescent="0.25">
      <c r="A515" t="str">
        <f t="shared" si="8"/>
        <v>01 MASTER REQUEST - SLAVE POLL</v>
      </c>
      <c r="B515" t="s">
        <v>18</v>
      </c>
    </row>
    <row r="516" spans="1:2" x14ac:dyDescent="0.25">
      <c r="A516" t="str">
        <f t="shared" si="8"/>
        <v>90 TIME- TRACK: 01, 00:07, DISC: 1</v>
      </c>
      <c r="B516" t="s">
        <v>133</v>
      </c>
    </row>
    <row r="517" spans="1:2" x14ac:dyDescent="0.25">
      <c r="A517" t="str">
        <f t="shared" si="8"/>
        <v>01 MASTER REQUEST - SLAVE POLL</v>
      </c>
      <c r="B517" t="s">
        <v>18</v>
      </c>
    </row>
    <row r="518" spans="1:2" x14ac:dyDescent="0.25">
      <c r="A518" t="str">
        <f t="shared" si="8"/>
        <v>00 STATUS - PLAYING</v>
      </c>
      <c r="B518" t="s">
        <v>127</v>
      </c>
    </row>
    <row r="519" spans="1:2" x14ac:dyDescent="0.25">
      <c r="A519" t="str">
        <f t="shared" si="8"/>
        <v>01 MASTER REQUEST - SLAVE POLL</v>
      </c>
      <c r="B519" t="s">
        <v>18</v>
      </c>
    </row>
    <row r="520" spans="1:2" x14ac:dyDescent="0.25">
      <c r="A520" t="str">
        <f t="shared" si="8"/>
        <v>84 REQUEST MORE TEXT FIELDS - SEND MAGAZINE INFO</v>
      </c>
      <c r="B520" t="s">
        <v>115</v>
      </c>
    </row>
    <row r="521" spans="1:2" x14ac:dyDescent="0.25">
      <c r="A521" t="str">
        <f t="shared" si="8"/>
        <v>01 MASTER REQUEST - TIME POLL</v>
      </c>
      <c r="B521" t="s">
        <v>35</v>
      </c>
    </row>
    <row r="522" spans="1:2" x14ac:dyDescent="0.25">
      <c r="A522" t="str">
        <f t="shared" si="8"/>
        <v>84 REQUEST MORE TEXT FIELDS - SEND DISC INFO</v>
      </c>
      <c r="B522" t="s">
        <v>120</v>
      </c>
    </row>
    <row r="523" spans="1:2" x14ac:dyDescent="0.25">
      <c r="A523" t="str">
        <f t="shared" si="8"/>
        <v>01 MASTER REQUEST - SLAVE POLL</v>
      </c>
      <c r="B523" t="s">
        <v>18</v>
      </c>
    </row>
    <row r="524" spans="1:2" x14ac:dyDescent="0.25">
      <c r="A524" t="str">
        <f t="shared" si="8"/>
        <v>95 MAGAZINE INFO - CD1 YES, CD2 YES, CD3 YES, CD4 NO, CD5 NO, CD6 NO</v>
      </c>
      <c r="B524" t="s">
        <v>145</v>
      </c>
    </row>
    <row r="525" spans="1:2" x14ac:dyDescent="0.25">
      <c r="A525" t="str">
        <f t="shared" si="8"/>
        <v>01 MASTER REQUEST - SLAVE POLL</v>
      </c>
      <c r="B525" t="s">
        <v>18</v>
      </c>
    </row>
    <row r="526" spans="1:2" x14ac:dyDescent="0.25">
      <c r="A526" t="str">
        <f t="shared" si="8"/>
        <v>97 DISC INFO - TRACKS: 99, MINS: 00, SECS: 00, DISC: 4</v>
      </c>
      <c r="B526" t="s">
        <v>147</v>
      </c>
    </row>
    <row r="527" spans="1:2" x14ac:dyDescent="0.25">
      <c r="A527" t="str">
        <f t="shared" si="8"/>
        <v>84 REQUEST MORE TEXT FIELDS - SEND MAGAZINE INFO</v>
      </c>
      <c r="B527" t="s">
        <v>115</v>
      </c>
    </row>
    <row r="528" spans="1:2" x14ac:dyDescent="0.25">
      <c r="A528" t="str">
        <f t="shared" si="8"/>
        <v>01 MASTER REQUEST - TIME POLL</v>
      </c>
      <c r="B528" t="s">
        <v>35</v>
      </c>
    </row>
    <row r="529" spans="1:2" x14ac:dyDescent="0.25">
      <c r="A529" t="str">
        <f t="shared" si="8"/>
        <v>00 STATUS - CHANGING CD</v>
      </c>
      <c r="B529" t="s">
        <v>116</v>
      </c>
    </row>
    <row r="530" spans="1:2" x14ac:dyDescent="0.25">
      <c r="A530" t="str">
        <f t="shared" si="8"/>
        <v>84 REQUEST MORE TEXT FIELDS - SEND DISC INFO</v>
      </c>
      <c r="B530" t="s">
        <v>120</v>
      </c>
    </row>
    <row r="531" spans="1:2" x14ac:dyDescent="0.25">
      <c r="A531" t="str">
        <f t="shared" si="8"/>
        <v>01 MASTER REQUEST - SLAVE POLL</v>
      </c>
      <c r="B531" t="s">
        <v>18</v>
      </c>
    </row>
    <row r="532" spans="1:2" x14ac:dyDescent="0.25">
      <c r="A532" t="str">
        <f t="shared" si="8"/>
        <v>95 MAGAZINE INFO - CD1 YES, CD2 YES, CD3 YES, CD4 NO, CD5 NO, CD6 NO</v>
      </c>
      <c r="B532" t="s">
        <v>145</v>
      </c>
    </row>
    <row r="533" spans="1:2" x14ac:dyDescent="0.25">
      <c r="A533" t="str">
        <f t="shared" si="8"/>
        <v>01 MASTER REQUEST - SLAVE POLL</v>
      </c>
      <c r="B533" t="s">
        <v>18</v>
      </c>
    </row>
    <row r="534" spans="1:2" x14ac:dyDescent="0.25">
      <c r="A534" t="str">
        <f t="shared" si="8"/>
        <v>97 DISC INFO - TRACKS: 99, MINS: 00, SECS: 00, DISC: 4</v>
      </c>
      <c r="B534" t="s">
        <v>147</v>
      </c>
    </row>
    <row r="535" spans="1:2" x14ac:dyDescent="0.25">
      <c r="A535" t="str">
        <f t="shared" si="8"/>
        <v>01 MASTER REQUEST - SLAVE POLL</v>
      </c>
      <c r="B535" t="s">
        <v>18</v>
      </c>
    </row>
    <row r="536" spans="1:2" x14ac:dyDescent="0.25">
      <c r="A536" t="str">
        <f t="shared" si="8"/>
        <v>01 MASTER REQUEST - SLAVE POLL</v>
      </c>
      <c r="B536" t="s">
        <v>18</v>
      </c>
    </row>
    <row r="537" spans="1:2" x14ac:dyDescent="0.25">
      <c r="A537" t="str">
        <f t="shared" si="8"/>
        <v>00 STATUS - CHANGING CD</v>
      </c>
      <c r="B537" t="s">
        <v>116</v>
      </c>
    </row>
    <row r="538" spans="1:2" x14ac:dyDescent="0.25">
      <c r="A538" t="str">
        <f t="shared" si="8"/>
        <v>B0 CHANGE TO DISC 4, TRACK 00</v>
      </c>
      <c r="B538" t="s">
        <v>146</v>
      </c>
    </row>
    <row r="539" spans="1:2" x14ac:dyDescent="0.25">
      <c r="A539" t="str">
        <f t="shared" si="8"/>
        <v>01 MASTER REQUEST - SLAVE POLL</v>
      </c>
      <c r="B539" t="s">
        <v>18</v>
      </c>
    </row>
    <row r="540" spans="1:2" x14ac:dyDescent="0.25">
      <c r="A540" t="str">
        <f t="shared" si="8"/>
        <v>01 MASTER REQUEST - SLAVE POLL</v>
      </c>
      <c r="B540" t="s">
        <v>18</v>
      </c>
    </row>
    <row r="541" spans="1:2" x14ac:dyDescent="0.25">
      <c r="A541" t="str">
        <f t="shared" si="8"/>
        <v>00 STATUS - CHANGING CD</v>
      </c>
      <c r="B541" t="s">
        <v>116</v>
      </c>
    </row>
    <row r="542" spans="1:2" x14ac:dyDescent="0.25">
      <c r="A542" t="str">
        <f t="shared" si="8"/>
        <v>84 REQUEST MORE TEXT FIELDS - SEND MAGAZINE INFO</v>
      </c>
      <c r="B542" t="s">
        <v>115</v>
      </c>
    </row>
    <row r="543" spans="1:2" x14ac:dyDescent="0.25">
      <c r="A543" t="str">
        <f t="shared" si="8"/>
        <v>01 MASTER REQUEST - TIME POLL</v>
      </c>
      <c r="B543" t="s">
        <v>35</v>
      </c>
    </row>
    <row r="544" spans="1:2" x14ac:dyDescent="0.25">
      <c r="A544" t="str">
        <f t="shared" si="8"/>
        <v>00 STATUS - CHANGING CD</v>
      </c>
      <c r="B544" t="s">
        <v>116</v>
      </c>
    </row>
    <row r="545" spans="1:2" x14ac:dyDescent="0.25">
      <c r="A545" t="str">
        <f t="shared" si="8"/>
        <v>84 REQUEST MORE TEXT FIELDS - SEND DISC INFO</v>
      </c>
      <c r="B545" t="s">
        <v>120</v>
      </c>
    </row>
    <row r="546" spans="1:2" x14ac:dyDescent="0.25">
      <c r="A546" t="str">
        <f t="shared" si="8"/>
        <v>01 MASTER REQUEST - SLAVE POLL</v>
      </c>
      <c r="B546" t="s">
        <v>18</v>
      </c>
    </row>
    <row r="547" spans="1:2" x14ac:dyDescent="0.25">
      <c r="A547" t="str">
        <f t="shared" si="8"/>
        <v>95 MAGAZINE INFO - CD1 YES, CD2 YES, CD3 YES, CD4 NO, CD5 NO, CD6 NO</v>
      </c>
      <c r="B547" t="s">
        <v>145</v>
      </c>
    </row>
    <row r="548" spans="1:2" x14ac:dyDescent="0.25">
      <c r="A548" t="str">
        <f t="shared" si="8"/>
        <v>01 MASTER REQUEST - SLAVE POLL</v>
      </c>
      <c r="B548" t="s">
        <v>18</v>
      </c>
    </row>
    <row r="549" spans="1:2" x14ac:dyDescent="0.25">
      <c r="A549" t="str">
        <f t="shared" si="8"/>
        <v>97 DISC INFO - TRACKS: 99, MINS: 00, SECS: 00, DISC: 4</v>
      </c>
      <c r="B549" t="s">
        <v>147</v>
      </c>
    </row>
    <row r="550" spans="1:2" x14ac:dyDescent="0.25">
      <c r="A550" t="str">
        <f t="shared" si="8"/>
        <v>01 MASTER REQUEST - SLAVE POLL</v>
      </c>
      <c r="B550" t="s">
        <v>18</v>
      </c>
    </row>
    <row r="551" spans="1:2" x14ac:dyDescent="0.25">
      <c r="A551" t="str">
        <f t="shared" si="8"/>
        <v>00 STATUS - CHANGING CD</v>
      </c>
      <c r="B551" t="s">
        <v>116</v>
      </c>
    </row>
    <row r="552" spans="1:2" x14ac:dyDescent="0.25">
      <c r="A552" t="str">
        <f t="shared" si="8"/>
        <v>84 REQUEST MORE TEXT FIELDS - SEND MAGAZINE INFO</v>
      </c>
      <c r="B552" t="s">
        <v>115</v>
      </c>
    </row>
    <row r="553" spans="1:2" x14ac:dyDescent="0.25">
      <c r="A553" t="str">
        <f t="shared" si="8"/>
        <v>01 MASTER REQUEST - TIME POLL</v>
      </c>
      <c r="B553" t="s">
        <v>35</v>
      </c>
    </row>
    <row r="554" spans="1:2" x14ac:dyDescent="0.25">
      <c r="A554" t="str">
        <f t="shared" si="8"/>
        <v>00 STATUS - CHANGING CD</v>
      </c>
      <c r="B554" t="s">
        <v>116</v>
      </c>
    </row>
    <row r="555" spans="1:2" x14ac:dyDescent="0.25">
      <c r="A555" t="str">
        <f t="shared" si="8"/>
        <v>84 REQUEST MORE TEXT FIELDS - SEND DISC INFO</v>
      </c>
      <c r="B555" t="s">
        <v>120</v>
      </c>
    </row>
    <row r="556" spans="1:2" x14ac:dyDescent="0.25">
      <c r="A556" t="str">
        <f t="shared" si="8"/>
        <v>01 MASTER REQUEST - SLAVE POLL</v>
      </c>
      <c r="B556" t="s">
        <v>18</v>
      </c>
    </row>
    <row r="557" spans="1:2" x14ac:dyDescent="0.25">
      <c r="A557" t="str">
        <f t="shared" si="8"/>
        <v>95 MAGAZINE INFO - CD1 YES, CD2 YES, CD3 YES, CD4 NO, CD5 NO, CD6 NO</v>
      </c>
      <c r="B557" t="s">
        <v>145</v>
      </c>
    </row>
    <row r="558" spans="1:2" x14ac:dyDescent="0.25">
      <c r="A558" t="str">
        <f t="shared" si="8"/>
        <v>01 MASTER REQUEST - SLAVE POLL</v>
      </c>
      <c r="B558" t="s">
        <v>18</v>
      </c>
    </row>
    <row r="559" spans="1:2" x14ac:dyDescent="0.25">
      <c r="A559" t="str">
        <f t="shared" si="8"/>
        <v>97 DISC INFO - TRACKS: 99, MINS: 00, SECS: 00, DISC: 4</v>
      </c>
      <c r="B559" t="s">
        <v>147</v>
      </c>
    </row>
    <row r="560" spans="1:2" x14ac:dyDescent="0.25">
      <c r="A560" t="str">
        <f t="shared" si="8"/>
        <v>B0 CHANGE TO DISC 4, TRACK 00</v>
      </c>
      <c r="B560" t="s">
        <v>146</v>
      </c>
    </row>
    <row r="561" spans="1:2" x14ac:dyDescent="0.25">
      <c r="A561" t="str">
        <f t="shared" si="8"/>
        <v>01 MASTER REQUEST - SLAVE POLL</v>
      </c>
      <c r="B561" t="s">
        <v>18</v>
      </c>
    </row>
    <row r="562" spans="1:2" x14ac:dyDescent="0.25">
      <c r="A562" t="str">
        <f t="shared" si="8"/>
        <v>00 STATUS - CHANGING CD</v>
      </c>
      <c r="B562" t="s">
        <v>116</v>
      </c>
    </row>
    <row r="563" spans="1:2" x14ac:dyDescent="0.25">
      <c r="A563" t="str">
        <f t="shared" si="8"/>
        <v>84 REQUEST MORE TEXT FIELDS - SEND MAGAZINE INFO</v>
      </c>
      <c r="B563" t="s">
        <v>115</v>
      </c>
    </row>
    <row r="564" spans="1:2" x14ac:dyDescent="0.25">
      <c r="A564" t="str">
        <f t="shared" si="8"/>
        <v>01 MASTER REQUEST - TIME POLL</v>
      </c>
      <c r="B564" t="s">
        <v>35</v>
      </c>
    </row>
    <row r="565" spans="1:2" x14ac:dyDescent="0.25">
      <c r="A565" t="str">
        <f t="shared" si="8"/>
        <v>00 STATUS - CHANGING CD</v>
      </c>
      <c r="B565" t="s">
        <v>116</v>
      </c>
    </row>
    <row r="566" spans="1:2" x14ac:dyDescent="0.25">
      <c r="A566" t="str">
        <f t="shared" si="8"/>
        <v>84 REQUEST MORE TEXT FIELDS - SEND DISC INFO</v>
      </c>
      <c r="B566" t="s">
        <v>120</v>
      </c>
    </row>
    <row r="567" spans="1:2" x14ac:dyDescent="0.25">
      <c r="A567" t="str">
        <f t="shared" si="8"/>
        <v>01 MASTER REQUEST - SLAVE POLL</v>
      </c>
      <c r="B567" t="s">
        <v>18</v>
      </c>
    </row>
    <row r="568" spans="1:2" x14ac:dyDescent="0.25">
      <c r="A568" t="str">
        <f t="shared" si="8"/>
        <v>97 DISC INFO - TRACKS: 99, MINS: 00, SECS: 00, DISC: 4</v>
      </c>
      <c r="B568" t="s">
        <v>147</v>
      </c>
    </row>
    <row r="569" spans="1:2" x14ac:dyDescent="0.25">
      <c r="A569" t="str">
        <f t="shared" si="8"/>
        <v>01 MASTER REQUEST - SLAVE POLL</v>
      </c>
      <c r="B569" t="s">
        <v>18</v>
      </c>
    </row>
    <row r="570" spans="1:2" x14ac:dyDescent="0.25">
      <c r="A570" t="str">
        <f t="shared" si="8"/>
        <v>8E MAGAZIN INFO - MAGAZIN IS EMPTY</v>
      </c>
      <c r="B570" t="s">
        <v>157</v>
      </c>
    </row>
    <row r="571" spans="1:2" x14ac:dyDescent="0.25">
      <c r="A571" t="str">
        <f t="shared" si="8"/>
        <v>01 MASTER REQUEST - SLAVE POLL</v>
      </c>
      <c r="B571" t="s">
        <v>18</v>
      </c>
    </row>
    <row r="572" spans="1:2" x14ac:dyDescent="0.25">
      <c r="A572" t="str">
        <f t="shared" si="8"/>
        <v>98 INTRO PLAY FINISH</v>
      </c>
      <c r="B572" t="s">
        <v>158</v>
      </c>
    </row>
    <row r="573" spans="1:2" x14ac:dyDescent="0.25">
      <c r="A573" t="str">
        <f t="shared" si="8"/>
        <v>84 REQUEST MORE TEXT FIELDS - SEND MAGAZINE INFO</v>
      </c>
      <c r="B573" t="s">
        <v>115</v>
      </c>
    </row>
    <row r="574" spans="1:2" x14ac:dyDescent="0.25">
      <c r="A574" t="str">
        <f t="shared" si="8"/>
        <v>01 MASTER REQUEST - TIME POLL</v>
      </c>
      <c r="B574" t="s">
        <v>35</v>
      </c>
    </row>
    <row r="575" spans="1:2" x14ac:dyDescent="0.25">
      <c r="A575" t="str">
        <f t="shared" si="8"/>
        <v>00 STATUS - CHANGING CD</v>
      </c>
      <c r="B575" t="s">
        <v>116</v>
      </c>
    </row>
    <row r="576" spans="1:2" x14ac:dyDescent="0.25">
      <c r="A576" t="str">
        <f t="shared" si="8"/>
        <v>84 REQUEST MORE TEXT FIELDS - SEND DISC INFO</v>
      </c>
      <c r="B576" t="s">
        <v>120</v>
      </c>
    </row>
    <row r="577" spans="1:2" x14ac:dyDescent="0.25">
      <c r="A577" t="str">
        <f t="shared" si="8"/>
        <v>01 MASTER REQUEST - SLAVE POLL</v>
      </c>
      <c r="B577" t="s">
        <v>18</v>
      </c>
    </row>
    <row r="578" spans="1:2" x14ac:dyDescent="0.25">
      <c r="A578" t="str">
        <f t="shared" ref="A578:A641" si="9">ParseUnilink(B578)</f>
        <v>95 MAGAZINE INFO - CD1 YES, CD2 YES, CD3 YES, CD4 NO, CD5 NO, CD6 NO</v>
      </c>
      <c r="B578" t="s">
        <v>145</v>
      </c>
    </row>
    <row r="579" spans="1:2" x14ac:dyDescent="0.25">
      <c r="A579" t="str">
        <f t="shared" si="9"/>
        <v>01 MASTER REQUEST - SLAVE POLL</v>
      </c>
      <c r="B579" t="s">
        <v>18</v>
      </c>
    </row>
    <row r="580" spans="1:2" x14ac:dyDescent="0.25">
      <c r="A580" t="str">
        <f t="shared" si="9"/>
        <v>01 MASTER REQUEST - SLAVE POLL</v>
      </c>
      <c r="B580" t="s">
        <v>18</v>
      </c>
    </row>
    <row r="581" spans="1:2" x14ac:dyDescent="0.25">
      <c r="A581" t="str">
        <f t="shared" si="9"/>
        <v>97 DISC INFO - TRACKS: 16, MINS: 36, SECS: 00, DISC: 1</v>
      </c>
      <c r="B581" t="s">
        <v>159</v>
      </c>
    </row>
    <row r="582" spans="1:2" x14ac:dyDescent="0.25">
      <c r="A582" t="str">
        <f t="shared" si="9"/>
        <v>01 MASTER REQUEST - SLAVE POLL</v>
      </c>
      <c r="B582" t="s">
        <v>18</v>
      </c>
    </row>
    <row r="583" spans="1:2" x14ac:dyDescent="0.25">
      <c r="A583" t="str">
        <f t="shared" si="9"/>
        <v>01 MASTER REQUEST - SLAVE POLL</v>
      </c>
      <c r="B583" t="s">
        <v>18</v>
      </c>
    </row>
    <row r="584" spans="1:2" x14ac:dyDescent="0.25">
      <c r="A584" t="str">
        <f t="shared" si="9"/>
        <v>87 POWER ON?</v>
      </c>
      <c r="B584" t="s">
        <v>112</v>
      </c>
    </row>
    <row r="585" spans="1:2" x14ac:dyDescent="0.25">
      <c r="A585" t="str">
        <f t="shared" si="9"/>
        <v>21 SWITCH TO - ???</v>
      </c>
      <c r="B585" t="s">
        <v>113</v>
      </c>
    </row>
    <row r="586" spans="1:2" x14ac:dyDescent="0.25">
      <c r="A586" t="str">
        <f t="shared" si="9"/>
        <v>20 PLAY (FROM MASTER)</v>
      </c>
      <c r="B586" t="s">
        <v>114</v>
      </c>
    </row>
    <row r="587" spans="1:2" x14ac:dyDescent="0.25">
      <c r="A587" t="str">
        <f t="shared" si="9"/>
        <v>01 MASTER REQUEST - SLAVE POLL</v>
      </c>
      <c r="B587" t="s">
        <v>18</v>
      </c>
    </row>
    <row r="588" spans="1:2" x14ac:dyDescent="0.25">
      <c r="A588" t="str">
        <f t="shared" si="9"/>
        <v xml:space="preserve">94 - </v>
      </c>
      <c r="B588" t="s">
        <v>119</v>
      </c>
    </row>
    <row r="589" spans="1:2" x14ac:dyDescent="0.25">
      <c r="A589" t="str">
        <f t="shared" si="9"/>
        <v>00 STATUS - CHANGING CD</v>
      </c>
      <c r="B589" t="s">
        <v>116</v>
      </c>
    </row>
    <row r="590" spans="1:2" x14ac:dyDescent="0.25">
      <c r="A590" t="str">
        <f t="shared" si="9"/>
        <v>84 REQUEST MORE TEXT FIELDS - SEND MAGAZINE INFO</v>
      </c>
      <c r="B590" t="s">
        <v>115</v>
      </c>
    </row>
    <row r="591" spans="1:2" x14ac:dyDescent="0.25">
      <c r="A591" t="str">
        <f t="shared" si="9"/>
        <v>00 STATUS - CHANGING CD</v>
      </c>
      <c r="B591" t="s">
        <v>116</v>
      </c>
    </row>
    <row r="592" spans="1:2" x14ac:dyDescent="0.25">
      <c r="A592" t="str">
        <f t="shared" si="9"/>
        <v>84 REQUEST MORE TEXT FIELDS - SEND DISC INFO</v>
      </c>
      <c r="B592" t="s">
        <v>120</v>
      </c>
    </row>
    <row r="593" spans="1:2" x14ac:dyDescent="0.25">
      <c r="A593" t="str">
        <f t="shared" si="9"/>
        <v>01 MASTER REQUEST - SLAVE POLL</v>
      </c>
      <c r="B593" t="s">
        <v>18</v>
      </c>
    </row>
    <row r="594" spans="1:2" x14ac:dyDescent="0.25">
      <c r="A594" t="str">
        <f t="shared" si="9"/>
        <v>95 MAGAZINE INFO - CD1 YES, CD2 YES, CD3 YES, CD4 NO, CD5 NO, CD6 NO</v>
      </c>
      <c r="B594" t="s">
        <v>145</v>
      </c>
    </row>
    <row r="595" spans="1:2" x14ac:dyDescent="0.25">
      <c r="A595" t="str">
        <f t="shared" si="9"/>
        <v>01 MASTER REQUEST - SLAVE POLL</v>
      </c>
      <c r="B595" t="s">
        <v>18</v>
      </c>
    </row>
    <row r="596" spans="1:2" x14ac:dyDescent="0.25">
      <c r="A596" t="str">
        <f t="shared" si="9"/>
        <v>97 DISC INFO - TRACKS: 16, MINS: 36, SECS: 00, DISC: 1</v>
      </c>
      <c r="B596" t="s">
        <v>159</v>
      </c>
    </row>
    <row r="597" spans="1:2" x14ac:dyDescent="0.25">
      <c r="A597" t="str">
        <f t="shared" si="9"/>
        <v>01 MASTER REQUEST - SLAVE POLL</v>
      </c>
      <c r="B597" t="s">
        <v>18</v>
      </c>
    </row>
    <row r="598" spans="1:2" x14ac:dyDescent="0.25">
      <c r="A598" t="str">
        <f t="shared" si="9"/>
        <v>01 MASTER REQUEST - SLAVE POLL</v>
      </c>
      <c r="B598" t="s">
        <v>18</v>
      </c>
    </row>
    <row r="599" spans="1:2" x14ac:dyDescent="0.25">
      <c r="A599" t="str">
        <f t="shared" si="9"/>
        <v>00 STATUS - CHANGING CD</v>
      </c>
      <c r="B599" t="s">
        <v>116</v>
      </c>
    </row>
    <row r="600" spans="1:2" x14ac:dyDescent="0.25">
      <c r="A600" t="str">
        <f t="shared" si="9"/>
        <v>84 REQUEST MORE TEXT FIELDS - SEND MAGAZINE INFO</v>
      </c>
      <c r="B600" t="s">
        <v>115</v>
      </c>
    </row>
    <row r="601" spans="1:2" x14ac:dyDescent="0.25">
      <c r="A601" t="str">
        <f t="shared" si="9"/>
        <v>01 MASTER REQUEST - TIME POLL</v>
      </c>
      <c r="B601" t="s">
        <v>35</v>
      </c>
    </row>
    <row r="602" spans="1:2" x14ac:dyDescent="0.25">
      <c r="A602" t="str">
        <f t="shared" si="9"/>
        <v>00 STATUS - CHANGING CD</v>
      </c>
      <c r="B602" t="s">
        <v>116</v>
      </c>
    </row>
    <row r="603" spans="1:2" x14ac:dyDescent="0.25">
      <c r="A603" t="str">
        <f t="shared" si="9"/>
        <v>84 REQUEST MORE TEXT FIELDS - SEND DISC INFO</v>
      </c>
      <c r="B603" t="s">
        <v>120</v>
      </c>
    </row>
    <row r="604" spans="1:2" x14ac:dyDescent="0.25">
      <c r="A604" t="str">
        <f t="shared" si="9"/>
        <v>01 MASTER REQUEST - SLAVE POLL</v>
      </c>
      <c r="B604" t="s">
        <v>18</v>
      </c>
    </row>
    <row r="605" spans="1:2" x14ac:dyDescent="0.25">
      <c r="A605" t="str">
        <f t="shared" si="9"/>
        <v>95 MAGAZINE INFO - CD1 YES, CD2 YES, CD3 YES, CD4 NO, CD5 NO, CD6 NO</v>
      </c>
      <c r="B605" t="s">
        <v>145</v>
      </c>
    </row>
    <row r="606" spans="1:2" x14ac:dyDescent="0.25">
      <c r="A606" t="str">
        <f t="shared" si="9"/>
        <v>01 MASTER REQUEST - SLAVE POLL</v>
      </c>
      <c r="B606" t="s">
        <v>18</v>
      </c>
    </row>
    <row r="607" spans="1:2" x14ac:dyDescent="0.25">
      <c r="A607" t="str">
        <f t="shared" si="9"/>
        <v>97 DISC INFO - TRACKS: 16, MINS: 36, SECS: 00, DISC: 1</v>
      </c>
      <c r="B607" t="s">
        <v>159</v>
      </c>
    </row>
    <row r="608" spans="1:2" x14ac:dyDescent="0.25">
      <c r="A608" t="str">
        <f t="shared" si="9"/>
        <v>21 SWITCH TO - ???</v>
      </c>
      <c r="B608" t="s">
        <v>113</v>
      </c>
    </row>
    <row r="609" spans="1:2" x14ac:dyDescent="0.25">
      <c r="A609" t="str">
        <f t="shared" si="9"/>
        <v>08 KEY RELEASED</v>
      </c>
      <c r="B609" t="s">
        <v>118</v>
      </c>
    </row>
    <row r="610" spans="1:2" x14ac:dyDescent="0.25">
      <c r="A610" t="str">
        <f t="shared" si="9"/>
        <v>01 MASTER REQUEST - SLAVE POLL</v>
      </c>
      <c r="B610" t="s">
        <v>18</v>
      </c>
    </row>
    <row r="611" spans="1:2" x14ac:dyDescent="0.25">
      <c r="A611" t="str">
        <f t="shared" si="9"/>
        <v xml:space="preserve">94 - </v>
      </c>
      <c r="B611" t="s">
        <v>119</v>
      </c>
    </row>
    <row r="612" spans="1:2" x14ac:dyDescent="0.25">
      <c r="A612" t="str">
        <f t="shared" si="9"/>
        <v>00 STATUS - CHANGING CD</v>
      </c>
      <c r="B612" t="s">
        <v>116</v>
      </c>
    </row>
    <row r="613" spans="1:2" x14ac:dyDescent="0.25">
      <c r="A613" t="str">
        <f t="shared" si="9"/>
        <v>84 REQUEST MORE TEXT FIELDS - SEND MAGAZINE INFO</v>
      </c>
      <c r="B613" t="s">
        <v>115</v>
      </c>
    </row>
    <row r="614" spans="1:2" x14ac:dyDescent="0.25">
      <c r="A614" t="str">
        <f t="shared" si="9"/>
        <v>01 MASTER REQUEST - TIME POLL</v>
      </c>
      <c r="B614" t="s">
        <v>35</v>
      </c>
    </row>
    <row r="615" spans="1:2" x14ac:dyDescent="0.25">
      <c r="A615" t="str">
        <f t="shared" si="9"/>
        <v>00 STATUS - CHANGING CD</v>
      </c>
      <c r="B615" t="s">
        <v>116</v>
      </c>
    </row>
    <row r="616" spans="1:2" x14ac:dyDescent="0.25">
      <c r="A616" t="str">
        <f t="shared" si="9"/>
        <v>84 REQUEST MORE TEXT FIELDS - SEND DISC INFO</v>
      </c>
      <c r="B616" t="s">
        <v>120</v>
      </c>
    </row>
    <row r="617" spans="1:2" x14ac:dyDescent="0.25">
      <c r="A617" t="str">
        <f t="shared" si="9"/>
        <v>95 MAGAZINE INFO - CD1 YES, CD2 YES, CD3 YES, CD4 NO, CD5 NO, CD6 NO</v>
      </c>
      <c r="B617" t="s">
        <v>145</v>
      </c>
    </row>
    <row r="618" spans="1:2" x14ac:dyDescent="0.25">
      <c r="A618" t="str">
        <f t="shared" si="9"/>
        <v>01 MASTER REQUEST - SLAVE POLL</v>
      </c>
      <c r="B618" t="s">
        <v>18</v>
      </c>
    </row>
    <row r="619" spans="1:2" x14ac:dyDescent="0.25">
      <c r="A619" t="str">
        <f t="shared" si="9"/>
        <v>84 REQUEST MORE TEXT FIELDS - SEND MAGAZINE INFO</v>
      </c>
      <c r="B619" t="s">
        <v>115</v>
      </c>
    </row>
    <row r="620" spans="1:2" x14ac:dyDescent="0.25">
      <c r="A620" t="str">
        <f t="shared" si="9"/>
        <v>01 MASTER REQUEST - TIME POLL</v>
      </c>
      <c r="B620" t="s">
        <v>35</v>
      </c>
    </row>
    <row r="621" spans="1:2" x14ac:dyDescent="0.25">
      <c r="A621" t="str">
        <f t="shared" si="9"/>
        <v>00 STATUS - CHANGING CD</v>
      </c>
      <c r="B621" t="s">
        <v>116</v>
      </c>
    </row>
    <row r="622" spans="1:2" x14ac:dyDescent="0.25">
      <c r="A622" t="str">
        <f t="shared" si="9"/>
        <v>84 REQUEST MORE TEXT FIELDS - SEND DISC INFO</v>
      </c>
      <c r="B622" t="s">
        <v>120</v>
      </c>
    </row>
    <row r="623" spans="1:2" x14ac:dyDescent="0.25">
      <c r="A623" t="str">
        <f t="shared" si="9"/>
        <v>01 MASTER REQUEST - SLAVE POLL</v>
      </c>
      <c r="B623" t="s">
        <v>18</v>
      </c>
    </row>
    <row r="624" spans="1:2" x14ac:dyDescent="0.25">
      <c r="A624" t="str">
        <f t="shared" si="9"/>
        <v>95 MAGAZINE INFO - CD1 YES, CD2 YES, CD3 YES, CD4 NO, CD5 NO, CD6 NO</v>
      </c>
      <c r="B624" t="s">
        <v>145</v>
      </c>
    </row>
    <row r="625" spans="1:2" x14ac:dyDescent="0.25">
      <c r="A625" t="str">
        <f t="shared" si="9"/>
        <v>01 MASTER REQUEST - SLAVE POLL</v>
      </c>
      <c r="B625" t="s">
        <v>18</v>
      </c>
    </row>
    <row r="626" spans="1:2" x14ac:dyDescent="0.25">
      <c r="A626" t="str">
        <f t="shared" si="9"/>
        <v>97 DISC INFO - TRACKS: 16, MINS: 36, SECS: 00, DISC: 1</v>
      </c>
      <c r="B626" t="s">
        <v>159</v>
      </c>
    </row>
    <row r="627" spans="1:2" x14ac:dyDescent="0.25">
      <c r="A627" t="str">
        <f t="shared" si="9"/>
        <v>21 SWITCH TO - ???</v>
      </c>
      <c r="B627" t="s">
        <v>113</v>
      </c>
    </row>
    <row r="628" spans="1:2" x14ac:dyDescent="0.25">
      <c r="A628" t="str">
        <f t="shared" si="9"/>
        <v>08 KEY RELEASED</v>
      </c>
      <c r="B628" t="s">
        <v>118</v>
      </c>
    </row>
    <row r="629" spans="1:2" x14ac:dyDescent="0.25">
      <c r="A629" t="str">
        <f t="shared" si="9"/>
        <v>01 MASTER REQUEST - SLAVE POLL</v>
      </c>
      <c r="B629" t="s">
        <v>18</v>
      </c>
    </row>
    <row r="630" spans="1:2" x14ac:dyDescent="0.25">
      <c r="A630" t="str">
        <f t="shared" si="9"/>
        <v>01 MASTER REQUEST - SLAVE POLL</v>
      </c>
      <c r="B630" t="s">
        <v>18</v>
      </c>
    </row>
    <row r="631" spans="1:2" x14ac:dyDescent="0.25">
      <c r="A631" t="str">
        <f t="shared" si="9"/>
        <v>00 STATUS - CHANGING CD</v>
      </c>
      <c r="B631" t="s">
        <v>116</v>
      </c>
    </row>
    <row r="632" spans="1:2" x14ac:dyDescent="0.25">
      <c r="A632" t="str">
        <f t="shared" si="9"/>
        <v>01 MASTER REQUEST - TIME POLL</v>
      </c>
      <c r="B632" t="s">
        <v>35</v>
      </c>
    </row>
    <row r="633" spans="1:2" x14ac:dyDescent="0.25">
      <c r="A633" t="str">
        <f t="shared" si="9"/>
        <v>00 STATUS - CHANGING CD</v>
      </c>
      <c r="B633" t="s">
        <v>116</v>
      </c>
    </row>
    <row r="634" spans="1:2" x14ac:dyDescent="0.25">
      <c r="A634" t="str">
        <f t="shared" si="9"/>
        <v>84 REQUEST MORE TEXT FIELDS - SEND DISC INFO</v>
      </c>
      <c r="B634" t="s">
        <v>120</v>
      </c>
    </row>
    <row r="635" spans="1:2" x14ac:dyDescent="0.25">
      <c r="A635" t="str">
        <f t="shared" si="9"/>
        <v>01 MASTER REQUEST - SLAVE POLL</v>
      </c>
      <c r="B635" t="s">
        <v>18</v>
      </c>
    </row>
    <row r="636" spans="1:2" x14ac:dyDescent="0.25">
      <c r="A636" t="str">
        <f t="shared" si="9"/>
        <v>95 MAGAZINE INFO - CD1 YES, CD2 YES, CD3 YES, CD4 NO, CD5 NO, CD6 NO</v>
      </c>
      <c r="B636" t="s">
        <v>145</v>
      </c>
    </row>
    <row r="637" spans="1:2" x14ac:dyDescent="0.25">
      <c r="A637" t="str">
        <f t="shared" si="9"/>
        <v>97 DISC INFO - TRACKS: 16, MINS: 36, SECS: 00, DISC: 1</v>
      </c>
      <c r="B637" t="s">
        <v>159</v>
      </c>
    </row>
    <row r="638" spans="1:2" x14ac:dyDescent="0.25">
      <c r="A638" t="str">
        <f t="shared" si="9"/>
        <v>01 MASTER REQUEST - SLAVE POLL</v>
      </c>
      <c r="B638" t="s">
        <v>18</v>
      </c>
    </row>
    <row r="639" spans="1:2" x14ac:dyDescent="0.25">
      <c r="A639" t="str">
        <f t="shared" si="9"/>
        <v>00 STATUS - CHANGED CD</v>
      </c>
      <c r="B639" t="s">
        <v>121</v>
      </c>
    </row>
    <row r="640" spans="1:2" x14ac:dyDescent="0.25">
      <c r="A640" t="str">
        <f t="shared" si="9"/>
        <v>84 REQUEST MORE TEXT FIELDS - SEND MAGAZINE INFO</v>
      </c>
      <c r="B640" t="s">
        <v>115</v>
      </c>
    </row>
    <row r="641" spans="1:2" x14ac:dyDescent="0.25">
      <c r="A641" t="str">
        <f t="shared" si="9"/>
        <v>01 MASTER REQUEST - TIME POLL</v>
      </c>
      <c r="B641" t="s">
        <v>35</v>
      </c>
    </row>
    <row r="642" spans="1:2" x14ac:dyDescent="0.25">
      <c r="A642" t="str">
        <f t="shared" ref="A642:A705" si="10">ParseUnilink(B642)</f>
        <v>00 STATUS - CHANGED CD</v>
      </c>
      <c r="B642" t="s">
        <v>121</v>
      </c>
    </row>
    <row r="643" spans="1:2" x14ac:dyDescent="0.25">
      <c r="A643" t="str">
        <f t="shared" si="10"/>
        <v>84 REQUEST MORE TEXT FIELDS - SEND DISC INFO</v>
      </c>
      <c r="B643" t="s">
        <v>120</v>
      </c>
    </row>
    <row r="644" spans="1:2" x14ac:dyDescent="0.25">
      <c r="A644" t="str">
        <f t="shared" si="10"/>
        <v>01 MASTER REQUEST - SLAVE POLL</v>
      </c>
      <c r="B644" t="s">
        <v>18</v>
      </c>
    </row>
    <row r="645" spans="1:2" x14ac:dyDescent="0.25">
      <c r="A645" t="str">
        <f t="shared" si="10"/>
        <v>95 MAGAZINE INFO - CD1 YES, CD2 YES, CD3 YES, CD4 NO, CD5 NO, CD6 NO</v>
      </c>
      <c r="B645" t="s">
        <v>145</v>
      </c>
    </row>
    <row r="646" spans="1:2" x14ac:dyDescent="0.25">
      <c r="A646" t="str">
        <f t="shared" si="10"/>
        <v>01 MASTER REQUEST - SLAVE POLL</v>
      </c>
      <c r="B646" t="s">
        <v>18</v>
      </c>
    </row>
    <row r="647" spans="1:2" x14ac:dyDescent="0.25">
      <c r="A647" t="str">
        <f t="shared" si="10"/>
        <v>97 DISC INFO - TRACKS: 16, MINS: 36, SECS: 00, DISC: 1</v>
      </c>
      <c r="B647" t="s">
        <v>159</v>
      </c>
    </row>
    <row r="648" spans="1:2" x14ac:dyDescent="0.25">
      <c r="A648" t="str">
        <f t="shared" si="10"/>
        <v>21 SWITCH TO - ???</v>
      </c>
      <c r="B648" t="s">
        <v>113</v>
      </c>
    </row>
    <row r="649" spans="1:2" x14ac:dyDescent="0.25">
      <c r="A649" t="str">
        <f t="shared" si="10"/>
        <v>08 KEY RELEASED</v>
      </c>
      <c r="B649" t="s">
        <v>118</v>
      </c>
    </row>
    <row r="650" spans="1:2" x14ac:dyDescent="0.25">
      <c r="A650" t="str">
        <f t="shared" si="10"/>
        <v>01 MASTER REQUEST - SLAVE POLL</v>
      </c>
      <c r="B650" t="s">
        <v>18</v>
      </c>
    </row>
    <row r="651" spans="1:2" x14ac:dyDescent="0.25">
      <c r="A651" t="str">
        <f t="shared" si="10"/>
        <v xml:space="preserve">94 - </v>
      </c>
      <c r="B651" t="s">
        <v>122</v>
      </c>
    </row>
    <row r="652" spans="1:2" x14ac:dyDescent="0.25">
      <c r="A652" t="str">
        <f t="shared" si="10"/>
        <v>01 MASTER REQUEST - SLAVE POLL</v>
      </c>
      <c r="B652" t="s">
        <v>18</v>
      </c>
    </row>
    <row r="653" spans="1:2" x14ac:dyDescent="0.25">
      <c r="A653" t="str">
        <f t="shared" si="10"/>
        <v>00 STATUS - CHANGED CD</v>
      </c>
      <c r="B653" t="s">
        <v>121</v>
      </c>
    </row>
    <row r="654" spans="1:2" x14ac:dyDescent="0.25">
      <c r="A654" t="str">
        <f t="shared" si="10"/>
        <v>84 REQUEST MORE TEXT FIELDS - SEND MAGAZINE INFO</v>
      </c>
      <c r="B654" t="s">
        <v>115</v>
      </c>
    </row>
    <row r="655" spans="1:2" x14ac:dyDescent="0.25">
      <c r="A655" t="str">
        <f t="shared" si="10"/>
        <v>01 MASTER REQUEST - TIME POLL</v>
      </c>
      <c r="B655" t="s">
        <v>35</v>
      </c>
    </row>
    <row r="656" spans="1:2" x14ac:dyDescent="0.25">
      <c r="A656" t="str">
        <f t="shared" si="10"/>
        <v>00 STATUS - CHANGED CD</v>
      </c>
      <c r="B656" t="s">
        <v>121</v>
      </c>
    </row>
    <row r="657" spans="1:2" x14ac:dyDescent="0.25">
      <c r="A657" t="str">
        <f t="shared" si="10"/>
        <v>84 REQUEST MORE TEXT FIELDS - SEND DISC INFO</v>
      </c>
      <c r="B657" t="s">
        <v>120</v>
      </c>
    </row>
    <row r="658" spans="1:2" x14ac:dyDescent="0.25">
      <c r="A658" t="str">
        <f t="shared" si="10"/>
        <v>01 MASTER REQUEST - SLAVE POLL</v>
      </c>
      <c r="B658" t="s">
        <v>18</v>
      </c>
    </row>
    <row r="659" spans="1:2" x14ac:dyDescent="0.25">
      <c r="A659" t="str">
        <f t="shared" si="10"/>
        <v>97 DISC INFO - TRACKS: 16, MINS: 36, SECS: 00, DISC: 1</v>
      </c>
      <c r="B659" t="s">
        <v>159</v>
      </c>
    </row>
    <row r="660" spans="1:2" x14ac:dyDescent="0.25">
      <c r="A660" t="str">
        <f t="shared" si="10"/>
        <v>01 MASTER REQUEST - SLAVE POLL</v>
      </c>
      <c r="B660" t="s">
        <v>18</v>
      </c>
    </row>
    <row r="661" spans="1:2" x14ac:dyDescent="0.25">
      <c r="A661" t="str">
        <f t="shared" si="10"/>
        <v>00 STATUS - CHANGED CD</v>
      </c>
      <c r="B661" t="s">
        <v>121</v>
      </c>
    </row>
    <row r="662" spans="1:2" x14ac:dyDescent="0.25">
      <c r="A662" t="str">
        <f t="shared" si="10"/>
        <v>01 MASTER REQUEST - SLAVE POLL</v>
      </c>
      <c r="B662" t="s">
        <v>18</v>
      </c>
    </row>
    <row r="663" spans="1:2" x14ac:dyDescent="0.25">
      <c r="A663" t="str">
        <f t="shared" si="10"/>
        <v xml:space="preserve">94 - </v>
      </c>
      <c r="B663" t="s">
        <v>134</v>
      </c>
    </row>
    <row r="664" spans="1:2" x14ac:dyDescent="0.25">
      <c r="A664" t="str">
        <f t="shared" si="10"/>
        <v>01 MASTER REQUEST - SLAVE POLL</v>
      </c>
      <c r="B664" t="s">
        <v>18</v>
      </c>
    </row>
    <row r="665" spans="1:2" x14ac:dyDescent="0.25">
      <c r="A665" t="str">
        <f t="shared" si="10"/>
        <v>00 STATUS - CHANGED CD</v>
      </c>
      <c r="B665" t="s">
        <v>121</v>
      </c>
    </row>
    <row r="666" spans="1:2" x14ac:dyDescent="0.25">
      <c r="A666" t="str">
        <f t="shared" si="10"/>
        <v>84 REQUEST MORE TEXT FIELDS - SEND MAGAZINE INFO</v>
      </c>
      <c r="B666" t="s">
        <v>115</v>
      </c>
    </row>
    <row r="667" spans="1:2" x14ac:dyDescent="0.25">
      <c r="A667" t="str">
        <f t="shared" si="10"/>
        <v>01 MASTER REQUEST - TIME POLL</v>
      </c>
      <c r="B667" t="s">
        <v>35</v>
      </c>
    </row>
    <row r="668" spans="1:2" x14ac:dyDescent="0.25">
      <c r="A668" t="str">
        <f t="shared" si="10"/>
        <v>00 STATUS - CHANGED CD</v>
      </c>
      <c r="B668" t="s">
        <v>121</v>
      </c>
    </row>
    <row r="669" spans="1:2" x14ac:dyDescent="0.25">
      <c r="A669" t="str">
        <f t="shared" si="10"/>
        <v>01 MASTER REQUEST - SLAVE POLL</v>
      </c>
      <c r="B669" t="s">
        <v>18</v>
      </c>
    </row>
    <row r="670" spans="1:2" x14ac:dyDescent="0.25">
      <c r="A670" t="str">
        <f t="shared" si="10"/>
        <v>95 MAGAZINE INFO - CD1 YES, CD2 YES, CD3 YES, CD4 NO, CD5 NO, CD6 NO</v>
      </c>
      <c r="B670" t="s">
        <v>145</v>
      </c>
    </row>
    <row r="671" spans="1:2" x14ac:dyDescent="0.25">
      <c r="A671" t="str">
        <f t="shared" si="10"/>
        <v>01 MASTER REQUEST - SLAVE POLL</v>
      </c>
      <c r="B671" t="s">
        <v>18</v>
      </c>
    </row>
    <row r="672" spans="1:2" x14ac:dyDescent="0.25">
      <c r="A672" t="str">
        <f t="shared" si="10"/>
        <v>01 MASTER REQUEST - SLAVE POLL</v>
      </c>
      <c r="B672" t="s">
        <v>18</v>
      </c>
    </row>
    <row r="673" spans="1:2" x14ac:dyDescent="0.25">
      <c r="A673" t="str">
        <f t="shared" si="10"/>
        <v>00 STATUS - CHANGED CD</v>
      </c>
      <c r="B673" t="s">
        <v>121</v>
      </c>
    </row>
    <row r="674" spans="1:2" x14ac:dyDescent="0.25">
      <c r="A674" t="str">
        <f t="shared" si="10"/>
        <v>01 MASTER REQUEST - SLAVE POLL</v>
      </c>
      <c r="B674" t="s">
        <v>18</v>
      </c>
    </row>
    <row r="675" spans="1:2" x14ac:dyDescent="0.25">
      <c r="A675" t="str">
        <f t="shared" si="10"/>
        <v>01 MASTER REQUEST - SLAVE POLL</v>
      </c>
      <c r="B675" t="s">
        <v>18</v>
      </c>
    </row>
    <row r="676" spans="1:2" x14ac:dyDescent="0.25">
      <c r="A676" t="str">
        <f t="shared" si="10"/>
        <v>00 STATUS - PLAYING</v>
      </c>
      <c r="B676" t="s">
        <v>127</v>
      </c>
    </row>
    <row r="677" spans="1:2" x14ac:dyDescent="0.25">
      <c r="A677" t="str">
        <f t="shared" si="10"/>
        <v>84 REQUEST MORE TEXT FIELDS - SEND MAGAZINE INFO</v>
      </c>
      <c r="B677" t="s">
        <v>115</v>
      </c>
    </row>
    <row r="678" spans="1:2" x14ac:dyDescent="0.25">
      <c r="A678" t="str">
        <f t="shared" si="10"/>
        <v>01 MASTER REQUEST - TIME POLL</v>
      </c>
      <c r="B678" t="s">
        <v>35</v>
      </c>
    </row>
    <row r="679" spans="1:2" x14ac:dyDescent="0.25">
      <c r="A679" t="str">
        <f t="shared" si="10"/>
        <v>00 STATUS - PLAYING</v>
      </c>
      <c r="B679" t="s">
        <v>127</v>
      </c>
    </row>
    <row r="680" spans="1:2" x14ac:dyDescent="0.25">
      <c r="A680" t="str">
        <f t="shared" si="10"/>
        <v>84 REQUEST MORE TEXT FIELDS - SEND DISC INFO</v>
      </c>
      <c r="B680" t="s">
        <v>120</v>
      </c>
    </row>
    <row r="681" spans="1:2" x14ac:dyDescent="0.25">
      <c r="A681" t="str">
        <f t="shared" si="10"/>
        <v>01 MASTER REQUEST - SLAVE POLL</v>
      </c>
      <c r="B681" t="s">
        <v>18</v>
      </c>
    </row>
    <row r="682" spans="1:2" x14ac:dyDescent="0.25">
      <c r="A682" t="str">
        <f t="shared" si="10"/>
        <v>95 MAGAZINE INFO - CD1 YES, CD2 YES, CD3 YES, CD4 NO, CD5 NO, CD6 NO</v>
      </c>
      <c r="B682" t="s">
        <v>145</v>
      </c>
    </row>
    <row r="683" spans="1:2" x14ac:dyDescent="0.25">
      <c r="A683" t="str">
        <f t="shared" si="10"/>
        <v>01 MASTER REQUEST - SLAVE POLL</v>
      </c>
      <c r="B683" t="s">
        <v>18</v>
      </c>
    </row>
    <row r="684" spans="1:2" x14ac:dyDescent="0.25">
      <c r="A684" t="str">
        <f t="shared" si="10"/>
        <v>90 TIME- TRACK: 01, 00:01, DISC: 1</v>
      </c>
      <c r="B684" t="s">
        <v>128</v>
      </c>
    </row>
    <row r="685" spans="1:2" x14ac:dyDescent="0.25">
      <c r="A685" t="str">
        <f t="shared" si="10"/>
        <v>01 MASTER REQUEST - SLAVE POLL</v>
      </c>
      <c r="B685" t="s">
        <v>18</v>
      </c>
    </row>
    <row r="686" spans="1:2" x14ac:dyDescent="0.25">
      <c r="A686" t="str">
        <f t="shared" si="10"/>
        <v>97 DISC INFO - TRACKS: 16, MINS: 79, SECS: 36, DISC: 1</v>
      </c>
      <c r="B686" t="s">
        <v>139</v>
      </c>
    </row>
    <row r="687" spans="1:2" x14ac:dyDescent="0.25">
      <c r="A687" t="str">
        <f t="shared" si="10"/>
        <v>01 MASTER REQUEST - SLAVE POLL</v>
      </c>
      <c r="B687" t="s">
        <v>18</v>
      </c>
    </row>
    <row r="688" spans="1:2" x14ac:dyDescent="0.25">
      <c r="A688" t="str">
        <f t="shared" si="10"/>
        <v>00 STATUS - PLAYING</v>
      </c>
      <c r="B688" t="s">
        <v>127</v>
      </c>
    </row>
    <row r="689" spans="1:2" x14ac:dyDescent="0.25">
      <c r="A689" t="str">
        <f t="shared" si="10"/>
        <v>01 MASTER REQUEST - SLAVE POLL</v>
      </c>
      <c r="B689" t="s">
        <v>18</v>
      </c>
    </row>
    <row r="690" spans="1:2" x14ac:dyDescent="0.25">
      <c r="A690" t="str">
        <f t="shared" si="10"/>
        <v>00 STATUS - PLAYING</v>
      </c>
      <c r="B690" t="s">
        <v>127</v>
      </c>
    </row>
    <row r="691" spans="1:2" x14ac:dyDescent="0.25">
      <c r="A691" t="str">
        <f t="shared" si="10"/>
        <v>84 REQUEST MORE TEXT FIELDS - SEND MAGAZINE INFO</v>
      </c>
      <c r="B691" t="s">
        <v>115</v>
      </c>
    </row>
    <row r="692" spans="1:2" x14ac:dyDescent="0.25">
      <c r="A692" t="str">
        <f t="shared" si="10"/>
        <v>01 MASTER REQUEST - TIME POLL</v>
      </c>
      <c r="B692" t="s">
        <v>35</v>
      </c>
    </row>
    <row r="693" spans="1:2" x14ac:dyDescent="0.25">
      <c r="A693" t="str">
        <f t="shared" si="10"/>
        <v>00 STATUS - PLAYING</v>
      </c>
      <c r="B693" t="s">
        <v>127</v>
      </c>
    </row>
    <row r="694" spans="1:2" x14ac:dyDescent="0.25">
      <c r="A694" t="str">
        <f t="shared" si="10"/>
        <v>01 MASTER REQUEST - SLAVE POLL</v>
      </c>
      <c r="B694" t="s">
        <v>18</v>
      </c>
    </row>
    <row r="695" spans="1:2" x14ac:dyDescent="0.25">
      <c r="A695" t="str">
        <f t="shared" si="10"/>
        <v>95 MAGAZINE INFO - CD1 YES, CD2 YES, CD3 YES, CD4 NO, CD5 NO, CD6 NO</v>
      </c>
      <c r="B695" t="s">
        <v>145</v>
      </c>
    </row>
    <row r="696" spans="1:2" x14ac:dyDescent="0.25">
      <c r="A696" t="str">
        <f t="shared" si="10"/>
        <v>01 MASTER REQUEST - SLAVE POLL</v>
      </c>
      <c r="B696" t="s">
        <v>18</v>
      </c>
    </row>
    <row r="697" spans="1:2" x14ac:dyDescent="0.25">
      <c r="A697" t="str">
        <f t="shared" si="10"/>
        <v>00 STATUS - PLAYING</v>
      </c>
      <c r="B697" t="s">
        <v>127</v>
      </c>
    </row>
    <row r="698" spans="1:2" x14ac:dyDescent="0.25">
      <c r="A698" t="str">
        <f t="shared" si="10"/>
        <v>84 REQUEST MORE TEXT FIELDS - SEND DISC INFO</v>
      </c>
      <c r="B698" t="s">
        <v>120</v>
      </c>
    </row>
    <row r="699" spans="1:2" x14ac:dyDescent="0.25">
      <c r="A699" t="str">
        <f t="shared" si="10"/>
        <v>01 MASTER REQUEST - SLAVE POLL</v>
      </c>
      <c r="B699" t="s">
        <v>18</v>
      </c>
    </row>
    <row r="700" spans="1:2" x14ac:dyDescent="0.25">
      <c r="A700" t="str">
        <f t="shared" si="10"/>
        <v>97 DISC INFO - TRACKS: 16, MINS: 79, SECS: 36, DISC: 1</v>
      </c>
      <c r="B700" t="s">
        <v>139</v>
      </c>
    </row>
    <row r="701" spans="1:2" x14ac:dyDescent="0.25">
      <c r="A701" t="str">
        <f t="shared" si="10"/>
        <v>00 STATUS - PLAYING</v>
      </c>
      <c r="B701" t="s">
        <v>127</v>
      </c>
    </row>
    <row r="702" spans="1:2" x14ac:dyDescent="0.25">
      <c r="A702" t="str">
        <f t="shared" si="10"/>
        <v>B0 CHANGE TO DISC 5, TRACK 00</v>
      </c>
      <c r="B702" t="s">
        <v>135</v>
      </c>
    </row>
    <row r="703" spans="1:2" x14ac:dyDescent="0.25">
      <c r="A703" t="str">
        <f t="shared" si="10"/>
        <v>01 MASTER REQUEST - SLAVE POLL</v>
      </c>
      <c r="B703" t="s">
        <v>18</v>
      </c>
    </row>
    <row r="704" spans="1:2" x14ac:dyDescent="0.25">
      <c r="A704" t="str">
        <f t="shared" si="10"/>
        <v>84 REQUEST MORE TEXT FIELDS - SEND MAGAZINE INFO</v>
      </c>
      <c r="B704" t="s">
        <v>115</v>
      </c>
    </row>
    <row r="705" spans="1:2" x14ac:dyDescent="0.25">
      <c r="A705" t="str">
        <f t="shared" si="10"/>
        <v>01 MASTER REQUEST - TIME POLL</v>
      </c>
      <c r="B705" t="s">
        <v>35</v>
      </c>
    </row>
    <row r="706" spans="1:2" x14ac:dyDescent="0.25">
      <c r="A706" t="str">
        <f t="shared" ref="A706:A769" si="11">ParseUnilink(B706)</f>
        <v>00 STATUS - CHANGING CD</v>
      </c>
      <c r="B706" t="s">
        <v>116</v>
      </c>
    </row>
    <row r="707" spans="1:2" x14ac:dyDescent="0.25">
      <c r="A707" t="str">
        <f t="shared" si="11"/>
        <v>84 REQUEST MORE TEXT FIELDS - SEND DISC INFO</v>
      </c>
      <c r="B707" t="s">
        <v>120</v>
      </c>
    </row>
    <row r="708" spans="1:2" x14ac:dyDescent="0.25">
      <c r="A708" t="str">
        <f t="shared" si="11"/>
        <v>01 MASTER REQUEST - SLAVE POLL</v>
      </c>
      <c r="B708" t="s">
        <v>18</v>
      </c>
    </row>
    <row r="709" spans="1:2" x14ac:dyDescent="0.25">
      <c r="A709" t="str">
        <f t="shared" si="11"/>
        <v>95 MAGAZINE INFO - CD1 YES, CD2 YES, CD3 YES, CD4 NO, CD5 NO, CD6 NO</v>
      </c>
      <c r="B709" t="s">
        <v>145</v>
      </c>
    </row>
    <row r="710" spans="1:2" x14ac:dyDescent="0.25">
      <c r="A710" t="str">
        <f t="shared" si="11"/>
        <v>01 MASTER REQUEST - SLAVE POLL</v>
      </c>
      <c r="B710" t="s">
        <v>18</v>
      </c>
    </row>
    <row r="711" spans="1:2" x14ac:dyDescent="0.25">
      <c r="A711" t="str">
        <f t="shared" si="11"/>
        <v>97 DISC INFO - TRACKS: 99, MINS: 00, SECS: 00, DISC: 5</v>
      </c>
      <c r="B711" t="s">
        <v>148</v>
      </c>
    </row>
    <row r="712" spans="1:2" x14ac:dyDescent="0.25">
      <c r="A712" t="str">
        <f t="shared" si="11"/>
        <v>01 MASTER REQUEST - SLAVE POLL</v>
      </c>
      <c r="B712" t="s">
        <v>18</v>
      </c>
    </row>
    <row r="713" spans="1:2" x14ac:dyDescent="0.25">
      <c r="A713" t="str">
        <f t="shared" si="11"/>
        <v>00 STATUS - CHANGING CD</v>
      </c>
      <c r="B713" t="s">
        <v>116</v>
      </c>
    </row>
    <row r="714" spans="1:2" x14ac:dyDescent="0.25">
      <c r="A714" t="str">
        <f t="shared" si="11"/>
        <v>01 MASTER REQUEST - TIME POLL</v>
      </c>
      <c r="B714" t="s">
        <v>35</v>
      </c>
    </row>
    <row r="715" spans="1:2" x14ac:dyDescent="0.25">
      <c r="A715" t="str">
        <f t="shared" si="11"/>
        <v>00 STATUS - CHANGING CD</v>
      </c>
      <c r="B715" t="s">
        <v>116</v>
      </c>
    </row>
    <row r="716" spans="1:2" x14ac:dyDescent="0.25">
      <c r="A716" t="str">
        <f t="shared" si="11"/>
        <v>84 REQUEST MORE TEXT FIELDS - SEND DISC INFO</v>
      </c>
      <c r="B716" t="s">
        <v>120</v>
      </c>
    </row>
    <row r="717" spans="1:2" x14ac:dyDescent="0.25">
      <c r="A717" t="str">
        <f t="shared" si="11"/>
        <v>01 MASTER REQUEST - SLAVE POLL</v>
      </c>
      <c r="B717" t="s">
        <v>18</v>
      </c>
    </row>
    <row r="718" spans="1:2" x14ac:dyDescent="0.25">
      <c r="A718" t="str">
        <f t="shared" si="11"/>
        <v>95 MAGAZINE INFO - CD1 YES, CD2 YES, CD3 YES, CD4 NO, CD5 NO, CD6 NO</v>
      </c>
      <c r="B718" t="s">
        <v>145</v>
      </c>
    </row>
    <row r="719" spans="1:2" x14ac:dyDescent="0.25">
      <c r="A719" t="str">
        <f t="shared" si="11"/>
        <v>01 MASTER REQUEST - SLAVE POLL</v>
      </c>
      <c r="B719" t="s">
        <v>18</v>
      </c>
    </row>
    <row r="720" spans="1:2" x14ac:dyDescent="0.25">
      <c r="A720" t="str">
        <f t="shared" si="11"/>
        <v>97 DISC INFO - TRACKS: 99, MINS: 00, SECS: 00, DISC: 5</v>
      </c>
      <c r="B720" t="s">
        <v>148</v>
      </c>
    </row>
    <row r="721" spans="1:2" x14ac:dyDescent="0.25">
      <c r="A721" t="str">
        <f t="shared" si="11"/>
        <v>B0 CHANGE TO DISC 5, TRACK 00</v>
      </c>
      <c r="B721" t="s">
        <v>135</v>
      </c>
    </row>
    <row r="722" spans="1:2" x14ac:dyDescent="0.25">
      <c r="A722" t="str">
        <f t="shared" si="11"/>
        <v>01 MASTER REQUEST - SLAVE POLL</v>
      </c>
      <c r="B722" t="s">
        <v>18</v>
      </c>
    </row>
    <row r="723" spans="1:2" x14ac:dyDescent="0.25">
      <c r="A723" t="str">
        <f t="shared" si="11"/>
        <v>01 MASTER REQUEST - SLAVE POLL</v>
      </c>
      <c r="B723" t="s">
        <v>18</v>
      </c>
    </row>
    <row r="724" spans="1:2" x14ac:dyDescent="0.25">
      <c r="A724" t="str">
        <f t="shared" si="11"/>
        <v>00 STATUS - CHANGING CD</v>
      </c>
      <c r="B724" t="s">
        <v>116</v>
      </c>
    </row>
    <row r="725" spans="1:2" x14ac:dyDescent="0.25">
      <c r="A725" t="str">
        <f t="shared" si="11"/>
        <v>84 REQUEST MORE TEXT FIELDS - SEND MAGAZINE INFO</v>
      </c>
      <c r="B725" t="s">
        <v>115</v>
      </c>
    </row>
    <row r="726" spans="1:2" x14ac:dyDescent="0.25">
      <c r="A726" t="str">
        <f t="shared" si="11"/>
        <v>01 MASTER REQUEST - TIME POLL</v>
      </c>
      <c r="B726" t="s">
        <v>35</v>
      </c>
    </row>
    <row r="727" spans="1:2" x14ac:dyDescent="0.25">
      <c r="A727" t="str">
        <f t="shared" si="11"/>
        <v>00 STATUS - CHANGING CD</v>
      </c>
      <c r="B727" t="s">
        <v>116</v>
      </c>
    </row>
    <row r="728" spans="1:2" x14ac:dyDescent="0.25">
      <c r="A728" t="str">
        <f t="shared" si="11"/>
        <v>84 REQUEST MORE TEXT FIELDS - SEND DISC INFO</v>
      </c>
      <c r="B728" t="s">
        <v>120</v>
      </c>
    </row>
    <row r="729" spans="1:2" x14ac:dyDescent="0.25">
      <c r="A729" t="str">
        <f t="shared" si="11"/>
        <v>01 MASTER REQUEST - SLAVE POLL</v>
      </c>
      <c r="B729" t="s">
        <v>18</v>
      </c>
    </row>
    <row r="730" spans="1:2" x14ac:dyDescent="0.25">
      <c r="A730" t="str">
        <f t="shared" si="11"/>
        <v>95 MAGAZINE INFO - CD1 YES, CD2 YES, CD3 YES, CD4 NO, CD5 NO, CD6 NO</v>
      </c>
      <c r="B730" t="s">
        <v>145</v>
      </c>
    </row>
    <row r="731" spans="1:2" x14ac:dyDescent="0.25">
      <c r="A731" t="str">
        <f t="shared" si="11"/>
        <v>01 MASTER REQUEST - SLAVE POLL</v>
      </c>
      <c r="B731" t="s">
        <v>18</v>
      </c>
    </row>
    <row r="732" spans="1:2" x14ac:dyDescent="0.25">
      <c r="A732" t="str">
        <f t="shared" si="11"/>
        <v>97 DISC INFO - TRACKS: 99, MINS: 00, SECS: 00, DISC: 5</v>
      </c>
      <c r="B732" t="s">
        <v>148</v>
      </c>
    </row>
    <row r="733" spans="1:2" x14ac:dyDescent="0.25">
      <c r="A733" t="str">
        <f t="shared" si="11"/>
        <v>84 REQUEST MORE TEXT FIELDS - SEND MAGAZINE INFO</v>
      </c>
      <c r="B733" t="s">
        <v>115</v>
      </c>
    </row>
    <row r="734" spans="1:2" x14ac:dyDescent="0.25">
      <c r="A734" t="str">
        <f t="shared" si="11"/>
        <v>01 MASTER REQUEST - TIME POLL</v>
      </c>
      <c r="B734" t="s">
        <v>35</v>
      </c>
    </row>
    <row r="735" spans="1:2" x14ac:dyDescent="0.25">
      <c r="A735" t="str">
        <f t="shared" si="11"/>
        <v>00 STATUS - CHANGING CD</v>
      </c>
      <c r="B735" t="s">
        <v>116</v>
      </c>
    </row>
    <row r="736" spans="1:2" x14ac:dyDescent="0.25">
      <c r="A736" t="str">
        <f t="shared" si="11"/>
        <v>84 REQUEST MORE TEXT FIELDS - SEND DISC INFO</v>
      </c>
      <c r="B736" t="s">
        <v>120</v>
      </c>
    </row>
    <row r="737" spans="1:2" x14ac:dyDescent="0.25">
      <c r="A737" t="str">
        <f t="shared" si="11"/>
        <v>01 MASTER REQUEST - SLAVE POLL</v>
      </c>
      <c r="B737" t="s">
        <v>18</v>
      </c>
    </row>
    <row r="738" spans="1:2" x14ac:dyDescent="0.25">
      <c r="A738" t="str">
        <f t="shared" si="11"/>
        <v>01 MASTER REQUEST - SLAVE POLL</v>
      </c>
      <c r="B738" t="s">
        <v>18</v>
      </c>
    </row>
    <row r="739" spans="1:2" x14ac:dyDescent="0.25">
      <c r="A739" t="str">
        <f t="shared" si="11"/>
        <v>97 DISC INFO - TRACKS: 99, MINS: 00, SECS: 00, DISC: 5</v>
      </c>
      <c r="B739" t="s">
        <v>148</v>
      </c>
    </row>
    <row r="740" spans="1:2" x14ac:dyDescent="0.25">
      <c r="A740" t="str">
        <f t="shared" si="11"/>
        <v>01 MASTER REQUEST - SLAVE POLL</v>
      </c>
      <c r="B740" t="s">
        <v>18</v>
      </c>
    </row>
    <row r="741" spans="1:2" x14ac:dyDescent="0.25">
      <c r="A741" t="str">
        <f t="shared" si="11"/>
        <v>01 MASTER REQUEST - SLAVE POLL</v>
      </c>
      <c r="B741" t="s">
        <v>18</v>
      </c>
    </row>
    <row r="742" spans="1:2" x14ac:dyDescent="0.25">
      <c r="A742" t="str">
        <f t="shared" si="11"/>
        <v>00 STATUS - CHANGING CD</v>
      </c>
      <c r="B742" t="s">
        <v>116</v>
      </c>
    </row>
    <row r="743" spans="1:2" x14ac:dyDescent="0.25">
      <c r="A743" t="str">
        <f t="shared" si="11"/>
        <v>84 REQUEST MORE TEXT FIELDS - SEND MAGAZINE INFO</v>
      </c>
      <c r="B743" t="s">
        <v>115</v>
      </c>
    </row>
    <row r="744" spans="1:2" x14ac:dyDescent="0.25">
      <c r="A744" t="str">
        <f t="shared" si="11"/>
        <v>01 MASTER REQUEST - TIME POLL</v>
      </c>
      <c r="B744" t="s">
        <v>35</v>
      </c>
    </row>
    <row r="745" spans="1:2" x14ac:dyDescent="0.25">
      <c r="A745" t="str">
        <f t="shared" si="11"/>
        <v>00 STATUS - CHANGING CD</v>
      </c>
      <c r="B745" t="s">
        <v>116</v>
      </c>
    </row>
    <row r="746" spans="1:2" x14ac:dyDescent="0.25">
      <c r="A746" t="str">
        <f t="shared" si="11"/>
        <v>84 REQUEST MORE TEXT FIELDS - SEND DISC INFO</v>
      </c>
      <c r="B746" t="s">
        <v>120</v>
      </c>
    </row>
    <row r="747" spans="1:2" x14ac:dyDescent="0.25">
      <c r="A747" t="str">
        <f t="shared" si="11"/>
        <v>95 MAGAZINE INFO - CD1 YES, CD2 YES, CD3 YES, CD4 NO, CD5 NO, CD6 NO</v>
      </c>
      <c r="B747" t="s">
        <v>145</v>
      </c>
    </row>
    <row r="748" spans="1:2" x14ac:dyDescent="0.25">
      <c r="A748" t="str">
        <f t="shared" si="11"/>
        <v>97 DISC INFO - TRACKS: 99, MINS: 00, SECS: 00, DISC: 5</v>
      </c>
      <c r="B748" t="s">
        <v>148</v>
      </c>
    </row>
    <row r="749" spans="1:2" x14ac:dyDescent="0.25">
      <c r="A749" t="str">
        <f t="shared" si="11"/>
        <v>84 REQUEST MORE TEXT FIELDS - SEND MAGAZINE INFO</v>
      </c>
      <c r="B749" t="s">
        <v>115</v>
      </c>
    </row>
    <row r="750" spans="1:2" x14ac:dyDescent="0.25">
      <c r="A750" t="str">
        <f t="shared" si="11"/>
        <v>01 MASTER REQUEST - TIME POLL</v>
      </c>
      <c r="B750" t="s">
        <v>35</v>
      </c>
    </row>
    <row r="751" spans="1:2" x14ac:dyDescent="0.25">
      <c r="A751" t="str">
        <f t="shared" si="11"/>
        <v>00 STATUS - CHANGING CD</v>
      </c>
      <c r="B751" t="s">
        <v>116</v>
      </c>
    </row>
    <row r="752" spans="1:2" x14ac:dyDescent="0.25">
      <c r="A752" t="str">
        <f t="shared" si="11"/>
        <v>01 MASTER REQUEST - SLAVE POLL</v>
      </c>
      <c r="B752" t="s">
        <v>18</v>
      </c>
    </row>
    <row r="753" spans="1:2" x14ac:dyDescent="0.25">
      <c r="A753" t="str">
        <f t="shared" si="11"/>
        <v>95 MAGAZINE INFO - CD1 YES, CD2 YES, CD3 YES, CD4 NO, CD5 NO, CD6 NO</v>
      </c>
      <c r="B753" t="s">
        <v>145</v>
      </c>
    </row>
    <row r="754" spans="1:2" x14ac:dyDescent="0.25">
      <c r="A754" t="str">
        <f t="shared" si="11"/>
        <v>01 MASTER REQUEST - SLAVE POLL</v>
      </c>
      <c r="B754" t="s">
        <v>18</v>
      </c>
    </row>
    <row r="755" spans="1:2" x14ac:dyDescent="0.25">
      <c r="A755" t="str">
        <f t="shared" si="11"/>
        <v>97 DISC INFO - TRACKS: 99, MINS: 00, SECS: 00, DISC: 5</v>
      </c>
      <c r="B755" t="s">
        <v>148</v>
      </c>
    </row>
    <row r="756" spans="1:2" x14ac:dyDescent="0.25">
      <c r="A756" t="str">
        <f t="shared" si="11"/>
        <v>01 MASTER REQUEST - SLAVE POLL</v>
      </c>
      <c r="B756" t="s">
        <v>18</v>
      </c>
    </row>
    <row r="757" spans="1:2" x14ac:dyDescent="0.25">
      <c r="A757" t="str">
        <f t="shared" si="11"/>
        <v>01 MASTER REQUEST - SLAVE POLL</v>
      </c>
      <c r="B757" t="s">
        <v>18</v>
      </c>
    </row>
    <row r="758" spans="1:2" x14ac:dyDescent="0.25">
      <c r="A758" t="str">
        <f t="shared" si="11"/>
        <v>98 INTRO PLAY FINISH</v>
      </c>
      <c r="B758" t="s">
        <v>160</v>
      </c>
    </row>
    <row r="759" spans="1:2" x14ac:dyDescent="0.25">
      <c r="A759" t="str">
        <f t="shared" si="11"/>
        <v>01 MASTER REQUEST - SLAVE POLL</v>
      </c>
      <c r="B759" t="s">
        <v>18</v>
      </c>
    </row>
    <row r="760" spans="1:2" x14ac:dyDescent="0.25">
      <c r="A760" t="str">
        <f t="shared" si="11"/>
        <v>9C - AFTER DISC CHANGE TO MASTER</v>
      </c>
      <c r="B760" t="s">
        <v>117</v>
      </c>
    </row>
    <row r="761" spans="1:2" x14ac:dyDescent="0.25">
      <c r="A761" t="str">
        <f t="shared" si="11"/>
        <v>01 MASTER REQUEST - SLAVE POLL</v>
      </c>
      <c r="B761" t="s">
        <v>18</v>
      </c>
    </row>
    <row r="762" spans="1:2" x14ac:dyDescent="0.25">
      <c r="A762" t="str">
        <f t="shared" si="11"/>
        <v>01 MASTER REQUEST - SLAVE POLL</v>
      </c>
      <c r="B762" t="s">
        <v>18</v>
      </c>
    </row>
    <row r="763" spans="1:2" x14ac:dyDescent="0.25">
      <c r="A763" t="str">
        <f t="shared" si="11"/>
        <v>87 POWER ON?</v>
      </c>
      <c r="B763" t="s">
        <v>112</v>
      </c>
    </row>
    <row r="764" spans="1:2" x14ac:dyDescent="0.25">
      <c r="A764" t="str">
        <f t="shared" si="11"/>
        <v>F0 SWITCH SOURCE</v>
      </c>
      <c r="B764" t="s">
        <v>125</v>
      </c>
    </row>
    <row r="765" spans="1:2" x14ac:dyDescent="0.25">
      <c r="A765" t="str">
        <f t="shared" si="11"/>
        <v>21 SWITCH TO - ???</v>
      </c>
      <c r="B765" t="s">
        <v>113</v>
      </c>
    </row>
    <row r="766" spans="1:2" x14ac:dyDescent="0.25">
      <c r="A766" t="str">
        <f t="shared" si="11"/>
        <v>20 PLAY (FROM MASTER)</v>
      </c>
      <c r="B766" t="s">
        <v>114</v>
      </c>
    </row>
    <row r="767" spans="1:2" x14ac:dyDescent="0.25">
      <c r="A767" t="str">
        <f t="shared" si="11"/>
        <v>08 KEY RELEASED</v>
      </c>
      <c r="B767" t="s">
        <v>118</v>
      </c>
    </row>
    <row r="768" spans="1:2" x14ac:dyDescent="0.25">
      <c r="A768" t="str">
        <f t="shared" si="11"/>
        <v>01 MASTER REQUEST - SLAVE POLL</v>
      </c>
      <c r="B768" t="s">
        <v>18</v>
      </c>
    </row>
    <row r="769" spans="1:2" x14ac:dyDescent="0.25">
      <c r="A769" t="str">
        <f t="shared" si="11"/>
        <v xml:space="preserve">94 - </v>
      </c>
      <c r="B769" t="s">
        <v>119</v>
      </c>
    </row>
    <row r="770" spans="1:2" x14ac:dyDescent="0.25">
      <c r="A770" t="str">
        <f t="shared" ref="A770:A833" si="12">ParseUnilink(B770)</f>
        <v>01 MASTER REQUEST - SLAVE POLL</v>
      </c>
      <c r="B770" t="s">
        <v>18</v>
      </c>
    </row>
    <row r="771" spans="1:2" x14ac:dyDescent="0.25">
      <c r="A771" t="str">
        <f t="shared" si="12"/>
        <v>00 STATUS - CHANGING CD</v>
      </c>
      <c r="B771" t="s">
        <v>116</v>
      </c>
    </row>
    <row r="772" spans="1:2" x14ac:dyDescent="0.25">
      <c r="A772" t="str">
        <f t="shared" si="12"/>
        <v>84 REQUEST MORE TEXT FIELDS - SEND MAGAZINE INFO</v>
      </c>
      <c r="B772" t="s">
        <v>115</v>
      </c>
    </row>
    <row r="773" spans="1:2" x14ac:dyDescent="0.25">
      <c r="A773" t="str">
        <f t="shared" si="12"/>
        <v>01 MASTER REQUEST - TIME POLL</v>
      </c>
      <c r="B773" t="s">
        <v>35</v>
      </c>
    </row>
    <row r="774" spans="1:2" x14ac:dyDescent="0.25">
      <c r="A774" t="str">
        <f t="shared" si="12"/>
        <v>00 STATUS - CHANGING CD</v>
      </c>
      <c r="B774" t="s">
        <v>116</v>
      </c>
    </row>
    <row r="775" spans="1:2" x14ac:dyDescent="0.25">
      <c r="A775" t="str">
        <f t="shared" si="12"/>
        <v>84 REQUEST MORE TEXT FIELDS - SEND DISC INFO</v>
      </c>
      <c r="B775" t="s">
        <v>120</v>
      </c>
    </row>
    <row r="776" spans="1:2" x14ac:dyDescent="0.25">
      <c r="A776" t="str">
        <f t="shared" si="12"/>
        <v>01 MASTER REQUEST - SLAVE POLL</v>
      </c>
      <c r="B776" t="s">
        <v>18</v>
      </c>
    </row>
    <row r="777" spans="1:2" x14ac:dyDescent="0.25">
      <c r="A777" t="str">
        <f t="shared" si="12"/>
        <v>95 MAGAZINE INFO - CD1 YES, CD2 YES, CD3 YES, CD4 NO, CD5 NO, CD6 NO</v>
      </c>
      <c r="B777" t="s">
        <v>145</v>
      </c>
    </row>
    <row r="778" spans="1:2" x14ac:dyDescent="0.25">
      <c r="A778" t="str">
        <f t="shared" si="12"/>
        <v>01 MASTER REQUEST - SLAVE POLL</v>
      </c>
      <c r="B778" t="s">
        <v>18</v>
      </c>
    </row>
    <row r="779" spans="1:2" x14ac:dyDescent="0.25">
      <c r="A779" t="str">
        <f t="shared" si="12"/>
        <v>97 DISC INFO - TRACKS: 16, MINS: 36, SECS: 00, DISC: 1</v>
      </c>
      <c r="B779" t="s">
        <v>159</v>
      </c>
    </row>
    <row r="780" spans="1:2" x14ac:dyDescent="0.25">
      <c r="A780" t="str">
        <f t="shared" si="12"/>
        <v>01 MASTER REQUEST - SLAVE POLL</v>
      </c>
      <c r="B780" t="s">
        <v>18</v>
      </c>
    </row>
    <row r="781" spans="1:2" x14ac:dyDescent="0.25">
      <c r="A781" t="str">
        <f t="shared" si="12"/>
        <v>01 MASTER REQUEST - SLAVE POLL</v>
      </c>
      <c r="B781" t="s">
        <v>18</v>
      </c>
    </row>
    <row r="782" spans="1:2" x14ac:dyDescent="0.25">
      <c r="A782" t="str">
        <f t="shared" si="12"/>
        <v>00 STATUS - CHANGING CD</v>
      </c>
      <c r="B782" t="s">
        <v>116</v>
      </c>
    </row>
    <row r="783" spans="1:2" x14ac:dyDescent="0.25">
      <c r="A783" t="str">
        <f t="shared" si="12"/>
        <v>01 MASTER REQUEST - TIME POLL</v>
      </c>
      <c r="B783" t="s">
        <v>35</v>
      </c>
    </row>
    <row r="784" spans="1:2" x14ac:dyDescent="0.25">
      <c r="A784" t="str">
        <f t="shared" si="12"/>
        <v>00 STATUS - CHANGING CD</v>
      </c>
      <c r="B784" t="s">
        <v>116</v>
      </c>
    </row>
    <row r="785" spans="1:2" x14ac:dyDescent="0.25">
      <c r="A785" t="str">
        <f t="shared" si="12"/>
        <v>84 REQUEST MORE TEXT FIELDS - SEND DISC INFO</v>
      </c>
      <c r="B785" t="s">
        <v>120</v>
      </c>
    </row>
    <row r="786" spans="1:2" x14ac:dyDescent="0.25">
      <c r="A786" t="str">
        <f t="shared" si="12"/>
        <v>01 MASTER REQUEST - SLAVE POLL</v>
      </c>
      <c r="B786" t="s">
        <v>18</v>
      </c>
    </row>
    <row r="787" spans="1:2" x14ac:dyDescent="0.25">
      <c r="A787" t="str">
        <f t="shared" si="12"/>
        <v>95 MAGAZINE INFO - CD1 YES, CD2 YES, CD3 YES, CD4 NO, CD5 NO, CD6 NO</v>
      </c>
      <c r="B787" t="s">
        <v>145</v>
      </c>
    </row>
    <row r="788" spans="1:2" x14ac:dyDescent="0.25">
      <c r="A788" t="str">
        <f t="shared" si="12"/>
        <v>01 MASTER REQUEST - SLAVE POLL</v>
      </c>
      <c r="B788" t="s">
        <v>18</v>
      </c>
    </row>
    <row r="789" spans="1:2" x14ac:dyDescent="0.25">
      <c r="A789" t="str">
        <f t="shared" si="12"/>
        <v>97 DISC INFO - TRACKS: 16, MINS: 36, SECS: 00, DISC: 1</v>
      </c>
      <c r="B789" t="s">
        <v>159</v>
      </c>
    </row>
    <row r="790" spans="1:2" x14ac:dyDescent="0.25">
      <c r="A790" t="str">
        <f t="shared" si="12"/>
        <v>21 SWITCH TO - ???</v>
      </c>
      <c r="B790" t="s">
        <v>113</v>
      </c>
    </row>
    <row r="791" spans="1:2" x14ac:dyDescent="0.25">
      <c r="A791" t="str">
        <f t="shared" si="12"/>
        <v>08 KEY RELEASED</v>
      </c>
      <c r="B791" t="s">
        <v>118</v>
      </c>
    </row>
    <row r="792" spans="1:2" x14ac:dyDescent="0.25">
      <c r="A792" t="str">
        <f t="shared" si="12"/>
        <v>01 MASTER REQUEST - SLAVE POLL</v>
      </c>
      <c r="B792" t="s">
        <v>18</v>
      </c>
    </row>
    <row r="793" spans="1:2" x14ac:dyDescent="0.25">
      <c r="A793" t="str">
        <f t="shared" si="12"/>
        <v xml:space="preserve">94 - </v>
      </c>
      <c r="B793" t="s">
        <v>119</v>
      </c>
    </row>
    <row r="794" spans="1:2" x14ac:dyDescent="0.25">
      <c r="A794" t="str">
        <f t="shared" si="12"/>
        <v>84 REQUEST MORE TEXT FIELDS - SEND MAGAZINE INFO</v>
      </c>
      <c r="B794" t="s">
        <v>115</v>
      </c>
    </row>
    <row r="795" spans="1:2" x14ac:dyDescent="0.25">
      <c r="A795" t="str">
        <f t="shared" si="12"/>
        <v>01 MASTER REQUEST - TIME POLL</v>
      </c>
      <c r="B795" t="s">
        <v>35</v>
      </c>
    </row>
    <row r="796" spans="1:2" x14ac:dyDescent="0.25">
      <c r="A796" t="str">
        <f t="shared" si="12"/>
        <v>00 STATUS - CHANGING CD</v>
      </c>
      <c r="B796" t="s">
        <v>116</v>
      </c>
    </row>
    <row r="797" spans="1:2" x14ac:dyDescent="0.25">
      <c r="A797" t="str">
        <f t="shared" si="12"/>
        <v>01 MASTER REQUEST - SLAVE POLL</v>
      </c>
      <c r="B797" t="s">
        <v>18</v>
      </c>
    </row>
    <row r="798" spans="1:2" x14ac:dyDescent="0.25">
      <c r="A798" t="str">
        <f t="shared" si="12"/>
        <v>95 MAGAZINE INFO - CD1 YES, CD2 YES, CD3 YES, CD4 NO, CD5 NO, CD6 NO</v>
      </c>
      <c r="B798" t="s">
        <v>145</v>
      </c>
    </row>
    <row r="799" spans="1:2" x14ac:dyDescent="0.25">
      <c r="A799" t="str">
        <f t="shared" si="12"/>
        <v>01 MASTER REQUEST - SLAVE POLL</v>
      </c>
      <c r="B799" t="s">
        <v>18</v>
      </c>
    </row>
    <row r="800" spans="1:2" x14ac:dyDescent="0.25">
      <c r="A800" t="str">
        <f t="shared" si="12"/>
        <v>97 DISC INFO - TRACKS: 16, MINS: 36, SECS: 00, DISC: 1</v>
      </c>
      <c r="B800" t="s">
        <v>159</v>
      </c>
    </row>
    <row r="801" spans="1:2" x14ac:dyDescent="0.25">
      <c r="A801" t="str">
        <f t="shared" si="12"/>
        <v>84 REQUEST MORE TEXT FIELDS - SEND MAGAZINE INFO</v>
      </c>
      <c r="B801" t="s">
        <v>115</v>
      </c>
    </row>
    <row r="802" spans="1:2" x14ac:dyDescent="0.25">
      <c r="A802" t="str">
        <f t="shared" si="12"/>
        <v>01 MASTER REQUEST - TIME POLL</v>
      </c>
      <c r="B802" t="s">
        <v>35</v>
      </c>
    </row>
    <row r="803" spans="1:2" x14ac:dyDescent="0.25">
      <c r="A803" t="str">
        <f t="shared" si="12"/>
        <v>00 STATUS - CHANGING CD</v>
      </c>
      <c r="B803" t="s">
        <v>116</v>
      </c>
    </row>
    <row r="804" spans="1:2" x14ac:dyDescent="0.25">
      <c r="A804" t="str">
        <f t="shared" si="12"/>
        <v>84 REQUEST MORE TEXT FIELDS - SEND DISC INFO</v>
      </c>
      <c r="B804" t="s">
        <v>120</v>
      </c>
    </row>
    <row r="805" spans="1:2" x14ac:dyDescent="0.25">
      <c r="A805" t="str">
        <f t="shared" si="12"/>
        <v>01 MASTER REQUEST - SLAVE POLL</v>
      </c>
      <c r="B805" t="s">
        <v>18</v>
      </c>
    </row>
    <row r="806" spans="1:2" x14ac:dyDescent="0.25">
      <c r="A806" t="str">
        <f t="shared" si="12"/>
        <v>95 MAGAZINE INFO - CD1 YES, CD2 YES, CD3 YES, CD4 NO, CD5 NO, CD6 NO</v>
      </c>
      <c r="B806" t="s">
        <v>145</v>
      </c>
    </row>
    <row r="807" spans="1:2" x14ac:dyDescent="0.25">
      <c r="A807" t="str">
        <f t="shared" si="12"/>
        <v>01 MASTER REQUEST - SLAVE POLL</v>
      </c>
      <c r="B807" t="s">
        <v>18</v>
      </c>
    </row>
    <row r="808" spans="1:2" x14ac:dyDescent="0.25">
      <c r="A808" t="str">
        <f t="shared" si="12"/>
        <v>97 DISC INFO - TRACKS: 16, MINS: 36, SECS: 00, DISC: 1</v>
      </c>
      <c r="B808" t="s">
        <v>159</v>
      </c>
    </row>
    <row r="809" spans="1:2" x14ac:dyDescent="0.25">
      <c r="A809" t="str">
        <f t="shared" si="12"/>
        <v>84 REQUEST MORE TEXT FIELDS - SEND MAGAZINE INFO</v>
      </c>
      <c r="B809" t="s">
        <v>115</v>
      </c>
    </row>
    <row r="810" spans="1:2" x14ac:dyDescent="0.25">
      <c r="A810" t="str">
        <f t="shared" si="12"/>
        <v>01 MASTER REQUEST - TIME POLL</v>
      </c>
      <c r="B810" t="s">
        <v>35</v>
      </c>
    </row>
    <row r="811" spans="1:2" x14ac:dyDescent="0.25">
      <c r="A811" t="str">
        <f t="shared" si="12"/>
        <v>00 STATUS - CHANGING CD</v>
      </c>
      <c r="B811" t="s">
        <v>116</v>
      </c>
    </row>
    <row r="812" spans="1:2" x14ac:dyDescent="0.25">
      <c r="A812" t="str">
        <f t="shared" si="12"/>
        <v>84 REQUEST MORE TEXT FIELDS - SEND DISC INFO</v>
      </c>
      <c r="B812" t="s">
        <v>120</v>
      </c>
    </row>
    <row r="813" spans="1:2" x14ac:dyDescent="0.25">
      <c r="A813" t="str">
        <f t="shared" si="12"/>
        <v>21 SWITCH TO - ???</v>
      </c>
      <c r="B813" t="s">
        <v>113</v>
      </c>
    </row>
    <row r="814" spans="1:2" x14ac:dyDescent="0.25">
      <c r="A814" t="str">
        <f t="shared" si="12"/>
        <v>08 KEY RELEASED</v>
      </c>
      <c r="B814" t="s">
        <v>118</v>
      </c>
    </row>
    <row r="815" spans="1:2" x14ac:dyDescent="0.25">
      <c r="A815" t="str">
        <f t="shared" si="12"/>
        <v>01 MASTER REQUEST - SLAVE POLL</v>
      </c>
      <c r="B815" t="s">
        <v>18</v>
      </c>
    </row>
    <row r="816" spans="1:2" x14ac:dyDescent="0.25">
      <c r="A816" t="str">
        <f t="shared" si="12"/>
        <v>95 MAGAZINE INFO - CD1 YES, CD2 YES, CD3 YES, CD4 NO, CD5 NO, CD6 NO</v>
      </c>
      <c r="B816" t="s">
        <v>145</v>
      </c>
    </row>
    <row r="817" spans="1:2" x14ac:dyDescent="0.25">
      <c r="A817" t="str">
        <f t="shared" si="12"/>
        <v>01 MASTER REQUEST - SLAVE POLL</v>
      </c>
      <c r="B817" t="s">
        <v>18</v>
      </c>
    </row>
    <row r="818" spans="1:2" x14ac:dyDescent="0.25">
      <c r="A818" t="str">
        <f t="shared" si="12"/>
        <v xml:space="preserve">94 - </v>
      </c>
      <c r="B818" t="s">
        <v>119</v>
      </c>
    </row>
    <row r="819" spans="1:2" x14ac:dyDescent="0.25">
      <c r="A819" t="str">
        <f t="shared" si="12"/>
        <v>01 MASTER REQUEST - SLAVE POLL</v>
      </c>
      <c r="B819" t="s">
        <v>18</v>
      </c>
    </row>
    <row r="820" spans="1:2" x14ac:dyDescent="0.25">
      <c r="A820" t="str">
        <f t="shared" si="12"/>
        <v>97 DISC INFO - TRACKS: 16, MINS: 36, SECS: 00, DISC: 1</v>
      </c>
      <c r="B820" t="s">
        <v>159</v>
      </c>
    </row>
    <row r="821" spans="1:2" x14ac:dyDescent="0.25">
      <c r="A821" t="str">
        <f t="shared" si="12"/>
        <v>01 MASTER REQUEST - SLAVE POLL</v>
      </c>
      <c r="B821" t="s">
        <v>18</v>
      </c>
    </row>
    <row r="822" spans="1:2" x14ac:dyDescent="0.25">
      <c r="A822" t="str">
        <f t="shared" si="12"/>
        <v>01 MASTER REQUEST - SLAVE POLL</v>
      </c>
      <c r="B822" t="s">
        <v>18</v>
      </c>
    </row>
    <row r="823" spans="1:2" x14ac:dyDescent="0.25">
      <c r="A823" t="str">
        <f t="shared" si="12"/>
        <v>00 STATUS - CHANGED CD</v>
      </c>
      <c r="B823" t="s">
        <v>121</v>
      </c>
    </row>
    <row r="824" spans="1:2" x14ac:dyDescent="0.25">
      <c r="A824" t="str">
        <f t="shared" si="12"/>
        <v>84 REQUEST MORE TEXT FIELDS - SEND MAGAZINE INFO</v>
      </c>
      <c r="B824" t="s">
        <v>115</v>
      </c>
    </row>
    <row r="825" spans="1:2" x14ac:dyDescent="0.25">
      <c r="A825" t="str">
        <f t="shared" si="12"/>
        <v>01 MASTER REQUEST - TIME POLL</v>
      </c>
      <c r="B825" t="s">
        <v>35</v>
      </c>
    </row>
    <row r="826" spans="1:2" x14ac:dyDescent="0.25">
      <c r="A826" t="str">
        <f t="shared" si="12"/>
        <v>00 STATUS - CHANGED CD</v>
      </c>
      <c r="B826" t="s">
        <v>121</v>
      </c>
    </row>
    <row r="827" spans="1:2" x14ac:dyDescent="0.25">
      <c r="A827" t="str">
        <f t="shared" si="12"/>
        <v>84 REQUEST MORE TEXT FIELDS - SEND DISC INFO</v>
      </c>
      <c r="B827" t="s">
        <v>120</v>
      </c>
    </row>
    <row r="828" spans="1:2" x14ac:dyDescent="0.25">
      <c r="A828" t="str">
        <f t="shared" si="12"/>
        <v>01 MASTER REQUEST - SLAVE POLL</v>
      </c>
      <c r="B828" t="s">
        <v>18</v>
      </c>
    </row>
    <row r="829" spans="1:2" x14ac:dyDescent="0.25">
      <c r="A829" t="str">
        <f t="shared" si="12"/>
        <v>95 MAGAZINE INFO - CD1 YES, CD2 YES, CD3 YES, CD4 NO, CD5 NO, CD6 NO</v>
      </c>
      <c r="B829" t="s">
        <v>145</v>
      </c>
    </row>
    <row r="830" spans="1:2" x14ac:dyDescent="0.25">
      <c r="A830" t="str">
        <f t="shared" si="12"/>
        <v>01 MASTER REQUEST - SLAVE POLL</v>
      </c>
      <c r="B830" t="s">
        <v>18</v>
      </c>
    </row>
    <row r="831" spans="1:2" x14ac:dyDescent="0.25">
      <c r="A831" t="str">
        <f t="shared" si="12"/>
        <v>97 DISC INFO - TRACKS: 16, MINS: 36, SECS: 00, DISC: 1</v>
      </c>
      <c r="B831" t="s">
        <v>159</v>
      </c>
    </row>
    <row r="832" spans="1:2" x14ac:dyDescent="0.25">
      <c r="A832" t="str">
        <f t="shared" si="12"/>
        <v>01 MASTER REQUEST - SLAVE POLL</v>
      </c>
      <c r="B832" t="s">
        <v>18</v>
      </c>
    </row>
    <row r="833" spans="1:2" x14ac:dyDescent="0.25">
      <c r="A833" t="str">
        <f t="shared" si="12"/>
        <v>00 STATUS - CHANGED CD</v>
      </c>
      <c r="B833" t="s">
        <v>121</v>
      </c>
    </row>
    <row r="834" spans="1:2" x14ac:dyDescent="0.25">
      <c r="A834" t="str">
        <f t="shared" ref="A834:A897" si="13">ParseUnilink(B834)</f>
        <v>84 REQUEST MORE TEXT FIELDS - SEND MAGAZINE INFO</v>
      </c>
      <c r="B834" t="s">
        <v>115</v>
      </c>
    </row>
    <row r="835" spans="1:2" x14ac:dyDescent="0.25">
      <c r="A835" t="str">
        <f t="shared" si="13"/>
        <v>01 MASTER REQUEST - TIME POLL</v>
      </c>
      <c r="B835" t="s">
        <v>35</v>
      </c>
    </row>
    <row r="836" spans="1:2" x14ac:dyDescent="0.25">
      <c r="A836" t="str">
        <f t="shared" si="13"/>
        <v>00 STATUS - CHANGED CD</v>
      </c>
      <c r="B836" t="s">
        <v>121</v>
      </c>
    </row>
    <row r="837" spans="1:2" x14ac:dyDescent="0.25">
      <c r="A837" t="str">
        <f t="shared" si="13"/>
        <v>84 REQUEST MORE TEXT FIELDS - SEND DISC INFO</v>
      </c>
      <c r="B837" t="s">
        <v>120</v>
      </c>
    </row>
    <row r="838" spans="1:2" x14ac:dyDescent="0.25">
      <c r="A838" t="str">
        <f t="shared" si="13"/>
        <v>01 MASTER REQUEST - SLAVE POLL</v>
      </c>
      <c r="B838" t="s">
        <v>18</v>
      </c>
    </row>
    <row r="839" spans="1:2" x14ac:dyDescent="0.25">
      <c r="A839" t="str">
        <f t="shared" si="13"/>
        <v>01 MASTER REQUEST - SLAVE POLL</v>
      </c>
      <c r="B839" t="s">
        <v>18</v>
      </c>
    </row>
    <row r="840" spans="1:2" x14ac:dyDescent="0.25">
      <c r="A840" t="str">
        <f t="shared" si="13"/>
        <v>97 DISC INFO - TRACKS: 16, MINS: 36, SECS: 00, DISC: 1</v>
      </c>
      <c r="B840" t="s">
        <v>159</v>
      </c>
    </row>
    <row r="841" spans="1:2" x14ac:dyDescent="0.25">
      <c r="A841" t="str">
        <f t="shared" si="13"/>
        <v>21 SWITCH TO - ???</v>
      </c>
      <c r="B841" t="s">
        <v>113</v>
      </c>
    </row>
    <row r="842" spans="1:2" x14ac:dyDescent="0.25">
      <c r="A842" t="str">
        <f t="shared" si="13"/>
        <v>08 KEY RELEASED</v>
      </c>
      <c r="B842" t="s">
        <v>118</v>
      </c>
    </row>
    <row r="843" spans="1:2" x14ac:dyDescent="0.25">
      <c r="A843" t="str">
        <f t="shared" si="13"/>
        <v>01 MASTER REQUEST - SLAVE POLL</v>
      </c>
      <c r="B843" t="s">
        <v>18</v>
      </c>
    </row>
    <row r="844" spans="1:2" x14ac:dyDescent="0.25">
      <c r="A844" t="str">
        <f t="shared" si="13"/>
        <v xml:space="preserve">94 - </v>
      </c>
      <c r="B844" t="s">
        <v>122</v>
      </c>
    </row>
    <row r="845" spans="1:2" x14ac:dyDescent="0.25">
      <c r="A845" t="str">
        <f t="shared" si="13"/>
        <v>84 REQUEST MORE TEXT FIELDS - SEND MAGAZINE INFO</v>
      </c>
      <c r="B845" t="s">
        <v>115</v>
      </c>
    </row>
    <row r="846" spans="1:2" x14ac:dyDescent="0.25">
      <c r="A846" t="str">
        <f t="shared" si="13"/>
        <v>01 MASTER REQUEST - TIME POLL</v>
      </c>
      <c r="B846" t="s">
        <v>35</v>
      </c>
    </row>
    <row r="847" spans="1:2" x14ac:dyDescent="0.25">
      <c r="A847" t="str">
        <f t="shared" si="13"/>
        <v>84 REQUEST MORE TEXT FIELDS - SEND DISC INFO</v>
      </c>
      <c r="B847" t="s">
        <v>120</v>
      </c>
    </row>
    <row r="848" spans="1:2" x14ac:dyDescent="0.25">
      <c r="A848" t="str">
        <f t="shared" si="13"/>
        <v>01 MASTER REQUEST - SLAVE POLL</v>
      </c>
      <c r="B848" t="s">
        <v>18</v>
      </c>
    </row>
    <row r="849" spans="1:2" x14ac:dyDescent="0.25">
      <c r="A849" t="str">
        <f t="shared" si="13"/>
        <v>95 MAGAZINE INFO - CD1 YES, CD2 YES, CD3 YES, CD4 NO, CD5 NO, CD6 NO</v>
      </c>
      <c r="B849" t="s">
        <v>145</v>
      </c>
    </row>
    <row r="850" spans="1:2" x14ac:dyDescent="0.25">
      <c r="A850" t="str">
        <f t="shared" si="13"/>
        <v>01 MASTER REQUEST - SLAVE POLL</v>
      </c>
      <c r="B850" t="s">
        <v>18</v>
      </c>
    </row>
    <row r="851" spans="1:2" x14ac:dyDescent="0.25">
      <c r="A851" t="str">
        <f t="shared" si="13"/>
        <v>97 DISC INFO - TRACKS: 16, MINS: 36, SECS: 00, DISC: 1</v>
      </c>
      <c r="B851" t="s">
        <v>159</v>
      </c>
    </row>
    <row r="852" spans="1:2" x14ac:dyDescent="0.25">
      <c r="A852" t="str">
        <f t="shared" si="13"/>
        <v>01 MASTER REQUEST - SLAVE POLL</v>
      </c>
      <c r="B852" t="s">
        <v>18</v>
      </c>
    </row>
    <row r="853" spans="1:2" x14ac:dyDescent="0.25">
      <c r="A853" t="str">
        <f t="shared" si="13"/>
        <v xml:space="preserve">94 - </v>
      </c>
      <c r="B853" t="s">
        <v>134</v>
      </c>
    </row>
    <row r="854" spans="1:2" x14ac:dyDescent="0.25">
      <c r="A854" t="str">
        <f t="shared" si="13"/>
        <v>00 STATUS - CHANGED CD</v>
      </c>
      <c r="B854" t="s">
        <v>121</v>
      </c>
    </row>
    <row r="855" spans="1:2" x14ac:dyDescent="0.25">
      <c r="A855" t="str">
        <f t="shared" si="13"/>
        <v>01 MASTER REQUEST - SLAVE POLL</v>
      </c>
      <c r="B855" t="s">
        <v>18</v>
      </c>
    </row>
    <row r="856" spans="1:2" x14ac:dyDescent="0.25">
      <c r="A856" t="str">
        <f t="shared" si="13"/>
        <v>01 MASTER REQUEST - SLAVE POLL</v>
      </c>
      <c r="B856" t="s">
        <v>18</v>
      </c>
    </row>
    <row r="857" spans="1:2" x14ac:dyDescent="0.25">
      <c r="A857" t="str">
        <f t="shared" si="13"/>
        <v>90 TIME- ???</v>
      </c>
      <c r="B857" t="s">
        <v>161</v>
      </c>
    </row>
    <row r="858" spans="1:2" x14ac:dyDescent="0.25">
      <c r="A858" t="str">
        <f t="shared" si="13"/>
        <v>01 MASTER REQUEST - SLAVE POLL</v>
      </c>
      <c r="B858" t="s">
        <v>18</v>
      </c>
    </row>
    <row r="859" spans="1:2" x14ac:dyDescent="0.25">
      <c r="A859" t="str">
        <f t="shared" si="13"/>
        <v>01 MASTER REQUEST - SLAVE POLL</v>
      </c>
      <c r="B859" t="s">
        <v>18</v>
      </c>
    </row>
    <row r="860" spans="1:2" x14ac:dyDescent="0.25">
      <c r="A860" t="str">
        <f t="shared" si="13"/>
        <v>00 STATUS - PLAYING</v>
      </c>
      <c r="B860" t="s">
        <v>127</v>
      </c>
    </row>
    <row r="861" spans="1:2" x14ac:dyDescent="0.25">
      <c r="A861" t="str">
        <f t="shared" si="13"/>
        <v>00 STATUS - PLAYING</v>
      </c>
      <c r="B861" t="s">
        <v>127</v>
      </c>
    </row>
    <row r="862" spans="1:2" x14ac:dyDescent="0.25">
      <c r="A862" t="str">
        <f t="shared" si="13"/>
        <v>84 REQUEST MORE TEXT FIELDS - SEND DISC INFO</v>
      </c>
      <c r="B862" t="s">
        <v>120</v>
      </c>
    </row>
    <row r="863" spans="1:2" x14ac:dyDescent="0.25">
      <c r="A863" t="str">
        <f t="shared" si="13"/>
        <v>01 MASTER REQUEST - SLAVE POLL</v>
      </c>
      <c r="B863" t="s">
        <v>18</v>
      </c>
    </row>
    <row r="864" spans="1:2" x14ac:dyDescent="0.25">
      <c r="A864" t="str">
        <f t="shared" si="13"/>
        <v>95 MAGAZINE INFO - CD1 YES, CD2 YES, CD3 YES, CD4 NO, CD5 NO, CD6 NO</v>
      </c>
      <c r="B864" t="s">
        <v>145</v>
      </c>
    </row>
    <row r="865" spans="1:2" x14ac:dyDescent="0.25">
      <c r="A865" t="str">
        <f t="shared" si="13"/>
        <v>01 MASTER REQUEST - SLAVE POLL</v>
      </c>
      <c r="B865" t="s">
        <v>18</v>
      </c>
    </row>
    <row r="866" spans="1:2" x14ac:dyDescent="0.25">
      <c r="A866" t="str">
        <f t="shared" si="13"/>
        <v>97 DISC INFO - TRACKS: 16, MINS: 79, SECS: 36, DISC: 1</v>
      </c>
      <c r="B866" t="s">
        <v>139</v>
      </c>
    </row>
    <row r="867" spans="1:2" x14ac:dyDescent="0.25">
      <c r="A867" t="str">
        <f t="shared" si="13"/>
        <v>01 MASTER REQUEST - SLAVE POLL</v>
      </c>
      <c r="B867" t="s">
        <v>18</v>
      </c>
    </row>
    <row r="868" spans="1:2" x14ac:dyDescent="0.25">
      <c r="A868" t="str">
        <f t="shared" si="13"/>
        <v>90 TIME- TRACK: 01, 00:01, DISC: 1</v>
      </c>
      <c r="B868" t="s">
        <v>128</v>
      </c>
    </row>
    <row r="869" spans="1:2" x14ac:dyDescent="0.25">
      <c r="A869" t="str">
        <f t="shared" si="13"/>
        <v>01 MASTER REQUEST - SLAVE POLL</v>
      </c>
      <c r="B869" t="s">
        <v>18</v>
      </c>
    </row>
    <row r="870" spans="1:2" x14ac:dyDescent="0.25">
      <c r="A870" t="str">
        <f t="shared" si="13"/>
        <v>00 STATUS - PLAYING</v>
      </c>
      <c r="B870" t="s">
        <v>127</v>
      </c>
    </row>
    <row r="871" spans="1:2" x14ac:dyDescent="0.25">
      <c r="A871" t="str">
        <f t="shared" si="13"/>
        <v>84 REQUEST MORE TEXT FIELDS - SEND MAGAZINE INFO</v>
      </c>
      <c r="B871" t="s">
        <v>115</v>
      </c>
    </row>
    <row r="872" spans="1:2" x14ac:dyDescent="0.25">
      <c r="A872" t="str">
        <f t="shared" si="13"/>
        <v>01 MASTER REQUEST - TIME POLL</v>
      </c>
      <c r="B872" t="s">
        <v>35</v>
      </c>
    </row>
    <row r="873" spans="1:2" x14ac:dyDescent="0.25">
      <c r="A873" t="str">
        <f t="shared" si="13"/>
        <v>00 STATUS - PLAYING</v>
      </c>
      <c r="B873" t="s">
        <v>127</v>
      </c>
    </row>
    <row r="874" spans="1:2" x14ac:dyDescent="0.25">
      <c r="A874" t="str">
        <f t="shared" si="13"/>
        <v>84 REQUEST MORE TEXT FIELDS - SEND DISC INFO</v>
      </c>
      <c r="B874" t="s">
        <v>120</v>
      </c>
    </row>
    <row r="875" spans="1:2" x14ac:dyDescent="0.25">
      <c r="A875" t="str">
        <f t="shared" si="13"/>
        <v>95 MAGAZINE INFO - CD1 YES, CD2 YES, CD3 YES, CD4 NO, CD5 NO, CD6 NO</v>
      </c>
      <c r="B875" t="s">
        <v>145</v>
      </c>
    </row>
    <row r="876" spans="1:2" x14ac:dyDescent="0.25">
      <c r="A876" t="str">
        <f t="shared" si="13"/>
        <v>01 MASTER REQUEST - SLAVE POLL</v>
      </c>
      <c r="B876" t="s">
        <v>18</v>
      </c>
    </row>
    <row r="877" spans="1:2" x14ac:dyDescent="0.25">
      <c r="A877" t="str">
        <f t="shared" si="13"/>
        <v>97 DISC INFO - TRACKS: 16, MINS: 79, SECS: 36, DISC: 1</v>
      </c>
      <c r="B877" t="s">
        <v>139</v>
      </c>
    </row>
    <row r="878" spans="1:2" x14ac:dyDescent="0.25">
      <c r="A878" t="str">
        <f t="shared" si="13"/>
        <v>01 MASTER REQUEST - SLAVE POLL</v>
      </c>
      <c r="B878" t="s">
        <v>18</v>
      </c>
    </row>
    <row r="879" spans="1:2" x14ac:dyDescent="0.25">
      <c r="A879" t="str">
        <f t="shared" si="13"/>
        <v>01 MASTER REQUEST - SLAVE POLL</v>
      </c>
      <c r="B879" t="s">
        <v>18</v>
      </c>
    </row>
    <row r="880" spans="1:2" x14ac:dyDescent="0.25">
      <c r="A880" t="str">
        <f t="shared" si="13"/>
        <v>00 STATUS - PLAYING</v>
      </c>
      <c r="B880" t="s">
        <v>127</v>
      </c>
    </row>
    <row r="881" spans="1:2" x14ac:dyDescent="0.25">
      <c r="A881" t="str">
        <f t="shared" si="13"/>
        <v>84 REQUEST MORE TEXT FIELDS - SEND MAGAZINE INFO</v>
      </c>
      <c r="B881" t="s">
        <v>115</v>
      </c>
    </row>
    <row r="882" spans="1:2" x14ac:dyDescent="0.25">
      <c r="A882" t="str">
        <f t="shared" si="13"/>
        <v>01 MASTER REQUEST - TIME POLL</v>
      </c>
      <c r="B882" t="s">
        <v>35</v>
      </c>
    </row>
    <row r="883" spans="1:2" x14ac:dyDescent="0.25">
      <c r="A883" t="str">
        <f t="shared" si="13"/>
        <v>00 STATUS - PLAYING</v>
      </c>
      <c r="B883" t="s">
        <v>127</v>
      </c>
    </row>
    <row r="884" spans="1:2" x14ac:dyDescent="0.25">
      <c r="A884" t="str">
        <f t="shared" si="13"/>
        <v>01 MASTER REQUEST - SLAVE POLL</v>
      </c>
      <c r="B884" t="s">
        <v>18</v>
      </c>
    </row>
    <row r="885" spans="1:2" x14ac:dyDescent="0.25">
      <c r="A885" t="str">
        <f t="shared" si="13"/>
        <v>95 MAGAZINE INFO - CD1 YES, CD2 YES, CD3 YES, CD4 NO, CD5 NO, CD6 NO</v>
      </c>
      <c r="B885" t="s">
        <v>145</v>
      </c>
    </row>
    <row r="886" spans="1:2" x14ac:dyDescent="0.25">
      <c r="A886" t="str">
        <f t="shared" si="13"/>
        <v>01 MASTER REQUEST - SLAVE POLL</v>
      </c>
      <c r="B886" t="s">
        <v>18</v>
      </c>
    </row>
    <row r="887" spans="1:2" x14ac:dyDescent="0.25">
      <c r="A887" t="str">
        <f t="shared" si="13"/>
        <v>90 TIME- TRACK: 01, 00:03, DISC: 1</v>
      </c>
      <c r="B887" t="s">
        <v>129</v>
      </c>
    </row>
    <row r="888" spans="1:2" x14ac:dyDescent="0.25">
      <c r="A888" t="str">
        <f t="shared" si="13"/>
        <v>01 MASTER REQUEST - SLAVE POLL</v>
      </c>
      <c r="B888" t="s">
        <v>18</v>
      </c>
    </row>
    <row r="889" spans="1:2" x14ac:dyDescent="0.25">
      <c r="A889" t="str">
        <f t="shared" si="13"/>
        <v>97 DISC INFO - TRACKS: 16, MINS: 79, SECS: 36, DISC: 1</v>
      </c>
      <c r="B889" t="s">
        <v>139</v>
      </c>
    </row>
    <row r="890" spans="1:2" x14ac:dyDescent="0.25">
      <c r="A890" t="str">
        <f t="shared" si="13"/>
        <v>01 MASTER REQUEST - SLAVE POLL</v>
      </c>
      <c r="B890" t="s">
        <v>18</v>
      </c>
    </row>
    <row r="891" spans="1:2" x14ac:dyDescent="0.25">
      <c r="A891" t="str">
        <f t="shared" si="13"/>
        <v>00 STATUS - PLAYING</v>
      </c>
      <c r="B891" t="s">
        <v>127</v>
      </c>
    </row>
    <row r="892" spans="1:2" x14ac:dyDescent="0.25">
      <c r="A892" t="str">
        <f t="shared" si="13"/>
        <v>90 TIME- TRACK: 01, 00:04, DISC: 1</v>
      </c>
      <c r="B892" t="s">
        <v>130</v>
      </c>
    </row>
    <row r="893" spans="1:2" x14ac:dyDescent="0.25">
      <c r="A893" t="str">
        <f t="shared" si="13"/>
        <v>01 MASTER REQUEST - SLAVE POLL</v>
      </c>
      <c r="B893" t="s">
        <v>18</v>
      </c>
    </row>
    <row r="894" spans="1:2" x14ac:dyDescent="0.25">
      <c r="A894" t="str">
        <f t="shared" si="13"/>
        <v>00 STATUS - PLAYING</v>
      </c>
      <c r="B894" t="s">
        <v>127</v>
      </c>
    </row>
    <row r="895" spans="1:2" x14ac:dyDescent="0.25">
      <c r="A895" t="str">
        <f t="shared" si="13"/>
        <v>84 REQUEST MORE TEXT FIELDS - SEND MAGAZINE INFO</v>
      </c>
      <c r="B895" t="s">
        <v>115</v>
      </c>
    </row>
    <row r="896" spans="1:2" x14ac:dyDescent="0.25">
      <c r="A896" t="str">
        <f t="shared" si="13"/>
        <v>01 MASTER REQUEST - TIME POLL</v>
      </c>
      <c r="B896" t="s">
        <v>35</v>
      </c>
    </row>
    <row r="897" spans="1:2" x14ac:dyDescent="0.25">
      <c r="A897" t="str">
        <f t="shared" si="13"/>
        <v>00 STATUS - PLAYING</v>
      </c>
      <c r="B897" t="s">
        <v>127</v>
      </c>
    </row>
    <row r="898" spans="1:2" x14ac:dyDescent="0.25">
      <c r="A898" t="str">
        <f t="shared" ref="A898:A928" si="14">ParseUnilink(B898)</f>
        <v>84 REQUEST MORE TEXT FIELDS - SEND DISC INFO</v>
      </c>
      <c r="B898" t="s">
        <v>120</v>
      </c>
    </row>
    <row r="899" spans="1:2" x14ac:dyDescent="0.25">
      <c r="A899" t="str">
        <f t="shared" si="14"/>
        <v>01 MASTER REQUEST - SLAVE POLL</v>
      </c>
      <c r="B899" t="s">
        <v>18</v>
      </c>
    </row>
    <row r="900" spans="1:2" x14ac:dyDescent="0.25">
      <c r="A900" t="str">
        <f t="shared" si="14"/>
        <v>01 MASTER REQUEST - SLAVE POLL</v>
      </c>
      <c r="B900" t="s">
        <v>18</v>
      </c>
    </row>
    <row r="901" spans="1:2" x14ac:dyDescent="0.25">
      <c r="A901" t="str">
        <f t="shared" si="14"/>
        <v>97 DISC INFO - TRACKS: 16, MINS: 79, SECS: 36, DISC: 1</v>
      </c>
      <c r="B901" t="s">
        <v>139</v>
      </c>
    </row>
    <row r="902" spans="1:2" x14ac:dyDescent="0.25">
      <c r="A902" t="str">
        <f t="shared" si="14"/>
        <v>01 MASTER REQUEST - SLAVE POLL</v>
      </c>
      <c r="B902" t="s">
        <v>18</v>
      </c>
    </row>
    <row r="903" spans="1:2" x14ac:dyDescent="0.25">
      <c r="A903" t="str">
        <f t="shared" si="14"/>
        <v>90 TIME- TRACK: 01, 00:05, DISC: 1</v>
      </c>
      <c r="B903" t="s">
        <v>131</v>
      </c>
    </row>
    <row r="904" spans="1:2" x14ac:dyDescent="0.25">
      <c r="A904" t="str">
        <f t="shared" si="14"/>
        <v>01 MASTER REQUEST - SLAVE POLL</v>
      </c>
      <c r="B904" t="s">
        <v>18</v>
      </c>
    </row>
    <row r="905" spans="1:2" x14ac:dyDescent="0.25">
      <c r="A905" t="str">
        <f t="shared" si="14"/>
        <v>00 STATUS - PLAYING</v>
      </c>
      <c r="B905" t="s">
        <v>127</v>
      </c>
    </row>
    <row r="906" spans="1:2" x14ac:dyDescent="0.25">
      <c r="A906" t="str">
        <f t="shared" si="14"/>
        <v>84 REQUEST MORE TEXT FIELDS - SEND MAGAZINE INFO</v>
      </c>
      <c r="B906" t="s">
        <v>115</v>
      </c>
    </row>
    <row r="907" spans="1:2" x14ac:dyDescent="0.25">
      <c r="A907" t="str">
        <f t="shared" si="14"/>
        <v>01 MASTER REQUEST - TIME POLL</v>
      </c>
      <c r="B907" t="s">
        <v>35</v>
      </c>
    </row>
    <row r="908" spans="1:2" x14ac:dyDescent="0.25">
      <c r="A908" t="str">
        <f t="shared" si="14"/>
        <v>00 STATUS - PLAYING</v>
      </c>
      <c r="B908" t="s">
        <v>127</v>
      </c>
    </row>
    <row r="909" spans="1:2" x14ac:dyDescent="0.25">
      <c r="A909" t="str">
        <f t="shared" si="14"/>
        <v>01 MASTER REQUEST - SLAVE POLL</v>
      </c>
      <c r="B909" t="s">
        <v>18</v>
      </c>
    </row>
    <row r="910" spans="1:2" x14ac:dyDescent="0.25">
      <c r="A910" t="str">
        <f t="shared" si="14"/>
        <v>95 MAGAZINE INFO - CD1 YES, CD2 YES, CD3 YES, CD4 NO, CD5 NO, CD6 NO</v>
      </c>
      <c r="B910" t="s">
        <v>145</v>
      </c>
    </row>
    <row r="911" spans="1:2" x14ac:dyDescent="0.25">
      <c r="A911" t="str">
        <f t="shared" si="14"/>
        <v>01 MASTER REQUEST - SLAVE POLL</v>
      </c>
      <c r="B911" t="s">
        <v>18</v>
      </c>
    </row>
    <row r="912" spans="1:2" x14ac:dyDescent="0.25">
      <c r="A912" t="str">
        <f t="shared" si="14"/>
        <v>97 DISC INFO - TRACKS: 16, MINS: 79, SECS: 36, DISC: 1</v>
      </c>
      <c r="B912" t="s">
        <v>139</v>
      </c>
    </row>
    <row r="913" spans="1:2" x14ac:dyDescent="0.25">
      <c r="A913" t="str">
        <f t="shared" si="14"/>
        <v>01 MASTER REQUEST - SLAVE POLL</v>
      </c>
      <c r="B913" t="s">
        <v>18</v>
      </c>
    </row>
    <row r="914" spans="1:2" x14ac:dyDescent="0.25">
      <c r="A914" t="str">
        <f t="shared" si="14"/>
        <v>90 TIME- TRACK: 01, 00:06, DISC: 1</v>
      </c>
      <c r="B914" t="s">
        <v>132</v>
      </c>
    </row>
    <row r="915" spans="1:2" x14ac:dyDescent="0.25">
      <c r="A915" t="str">
        <f t="shared" si="14"/>
        <v>01 MASTER REQUEST - SLAVE POLL</v>
      </c>
      <c r="B915" t="s">
        <v>18</v>
      </c>
    </row>
    <row r="916" spans="1:2" x14ac:dyDescent="0.25">
      <c r="A916" t="str">
        <f t="shared" si="14"/>
        <v>00 STATUS - PLAYING</v>
      </c>
      <c r="B916" t="s">
        <v>127</v>
      </c>
    </row>
    <row r="917" spans="1:2" x14ac:dyDescent="0.25">
      <c r="A917" t="str">
        <f t="shared" si="14"/>
        <v>84 REQUEST MORE TEXT FIELDS - SEND MAGAZINE INFO</v>
      </c>
      <c r="B917" t="s">
        <v>115</v>
      </c>
    </row>
    <row r="918" spans="1:2" x14ac:dyDescent="0.25">
      <c r="A918" t="str">
        <f t="shared" si="14"/>
        <v>01 MASTER REQUEST - TIME POLL</v>
      </c>
      <c r="B918" t="s">
        <v>35</v>
      </c>
    </row>
    <row r="919" spans="1:2" x14ac:dyDescent="0.25">
      <c r="A919" t="str">
        <f t="shared" si="14"/>
        <v>00 STATUS - PLAYING</v>
      </c>
      <c r="B919" t="s">
        <v>127</v>
      </c>
    </row>
    <row r="920" spans="1:2" x14ac:dyDescent="0.25">
      <c r="A920" t="str">
        <f t="shared" si="14"/>
        <v>84 REQUEST MORE TEXT FIELDS - SEND DISC INFO</v>
      </c>
      <c r="B920" t="s">
        <v>120</v>
      </c>
    </row>
    <row r="921" spans="1:2" x14ac:dyDescent="0.25">
      <c r="A921" t="str">
        <f t="shared" si="14"/>
        <v>01 MASTER REQUEST - SLAVE POLL</v>
      </c>
      <c r="B921" t="s">
        <v>18</v>
      </c>
    </row>
    <row r="922" spans="1:2" x14ac:dyDescent="0.25">
      <c r="A922" t="str">
        <f t="shared" si="14"/>
        <v>95 MAGAZINE INFO - CD1 YES, CD2 YES, CD3 YES, CD4 NO, CD5 NO, CD6 NO</v>
      </c>
      <c r="B922" t="s">
        <v>145</v>
      </c>
    </row>
    <row r="923" spans="1:2" x14ac:dyDescent="0.25">
      <c r="A923" t="str">
        <f t="shared" si="14"/>
        <v>01 MASTER REQUEST - SLAVE POLL</v>
      </c>
      <c r="B923" t="s">
        <v>18</v>
      </c>
    </row>
    <row r="924" spans="1:2" x14ac:dyDescent="0.25">
      <c r="A924" t="str">
        <f t="shared" si="14"/>
        <v>97 DISC INFO - TRACKS: 16, MINS: 79, SECS: 36, DISC: 1</v>
      </c>
      <c r="B924" t="s">
        <v>139</v>
      </c>
    </row>
    <row r="925" spans="1:2" x14ac:dyDescent="0.25">
      <c r="A925" t="str">
        <f t="shared" si="14"/>
        <v>01 MASTER REQUEST - SLAVE POLL</v>
      </c>
      <c r="B925" t="s">
        <v>18</v>
      </c>
    </row>
    <row r="926" spans="1:2" x14ac:dyDescent="0.25">
      <c r="A926" t="str">
        <f t="shared" si="14"/>
        <v>90 TIME- TRACK: 01, 00:07, DISC: 1</v>
      </c>
      <c r="B926" t="s">
        <v>133</v>
      </c>
    </row>
    <row r="927" spans="1:2" x14ac:dyDescent="0.25">
      <c r="A927" t="str">
        <f t="shared" si="14"/>
        <v>01 MASTER REQUEST - SLAVE POLL</v>
      </c>
      <c r="B927" t="s">
        <v>18</v>
      </c>
    </row>
    <row r="928" spans="1:2" x14ac:dyDescent="0.25">
      <c r="A928" t="str">
        <f t="shared" si="14"/>
        <v>00 STATUS - PLAYING</v>
      </c>
      <c r="B928" t="s">
        <v>127</v>
      </c>
    </row>
  </sheetData>
  <conditionalFormatting sqref="A1:A928">
    <cfRule type="containsText" dxfId="10" priority="11" operator="containsText" text="magazine">
      <formula>NOT(ISERROR(SEARCH("magazine",A1)))</formula>
    </cfRule>
    <cfRule type="containsText" dxfId="9" priority="10" operator="containsText" text="disc info">
      <formula>NOT(ISERROR(SEARCH("disc info",A1)))</formula>
    </cfRule>
    <cfRule type="containsText" dxfId="8" priority="9" operator="containsText" text="reset">
      <formula>NOT(ISERROR(SEARCH("reset",A1)))</formula>
    </cfRule>
    <cfRule type="containsText" dxfId="7" priority="8" operator="containsText" text="anyone">
      <formula>NOT(ISERROR(SEARCH("anyone",A1)))</formula>
    </cfRule>
    <cfRule type="containsText" dxfId="6" priority="7" operator="containsText" text="status">
      <formula>NOT(ISERROR(SEARCH("status",A1)))</formula>
    </cfRule>
    <cfRule type="containsText" dxfId="5" priority="6" operator="containsText" text="B0 change">
      <formula>NOT(ISERROR(SEARCH("B0 change",A1)))</formula>
    </cfRule>
    <cfRule type="containsText" dxfId="4" priority="2" operator="containsText" text="8E">
      <formula>NOT(ISERROR(SEARCH("8E",A1)))</formula>
    </cfRule>
    <cfRule type="containsText" dxfId="3" priority="1" operator="containsText" text="intro">
      <formula>NOT(ISERROR(SEARCH("intro",A1)))</formula>
    </cfRule>
  </conditionalFormatting>
  <conditionalFormatting sqref="B1:B928">
    <cfRule type="beginsWith" dxfId="2" priority="5" operator="beginsWith" text="70">
      <formula>LEFT(B1,LEN("70"))="70"</formula>
    </cfRule>
    <cfRule type="beginsWith" dxfId="1" priority="4" operator="beginsWith" text="77">
      <formula>LEFT(B1,LEN("77"))="77"</formula>
    </cfRule>
    <cfRule type="beginsWith" dxfId="0" priority="3" operator="beginsWith" text="90">
      <formula>LEFT(B1,LEN("90"))="90"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power-on</vt:lpstr>
      <vt:lpstr>changing</vt:lpstr>
      <vt:lpstr>original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David2</dc:creator>
  <cp:lastModifiedBy>David</cp:lastModifiedBy>
  <dcterms:created xsi:type="dcterms:W3CDTF">2020-07-05T18:20:11Z</dcterms:created>
  <dcterms:modified xsi:type="dcterms:W3CDTF">2021-02-27T23:32:28Z</dcterms:modified>
</cp:coreProperties>
</file>